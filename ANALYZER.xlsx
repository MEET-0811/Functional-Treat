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bookViews>
    <workbookView xWindow="0" yWindow="0" windowWidth="20490" windowHeight="7755" activeTab="3"/>
  </bookViews>
  <sheets>
    <sheet name="SALES DATA" sheetId="1" r:id="rId1"/>
    <sheet name="SUMMARY DATA" sheetId="2" r:id="rId2"/>
    <sheet name="PIVOT TABLE" sheetId="3" r:id="rId3"/>
    <sheet name="DASHBOARD" sheetId="4" r:id="rId4"/>
  </sheet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4" i="1" l="1"/>
  <c r="B20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</calcChain>
</file>

<file path=xl/sharedStrings.xml><?xml version="1.0" encoding="utf-8"?>
<sst xmlns="http://schemas.openxmlformats.org/spreadsheetml/2006/main" count="903" uniqueCount="125">
  <si>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</si>
  <si>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</si>
  <si>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</si>
  <si>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</si>
  <si>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</si>
  <si>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</si>
  <si>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</si>
  <si>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</si>
  <si>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</si>
  <si>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</si>
  <si>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</si>
  <si>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</si>
  <si>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</si>
  <si>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</si>
  <si>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</si>
  <si>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</si>
  <si>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</si>
  <si>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</si>
  <si>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</si>
  <si>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</si>
  <si>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</si>
  <si>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</si>
  <si>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</si>
  <si>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</si>
  <si>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</si>
  <si>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</si>
  <si>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</si>
  <si>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</si>
  <si>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</si>
  <si>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</si>
  <si>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</si>
  <si>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</si>
  <si>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</si>
  <si>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</si>
  <si>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</si>
  <si>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</si>
  <si>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</si>
  <si>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</si>
  <si>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</si>
  <si>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</si>
  <si>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</si>
  <si>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</si>
  <si>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</si>
  <si>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</si>
  <si>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</si>
  <si>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</si>
  <si>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</si>
  <si>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</si>
  <si>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</si>
  <si>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</si>
  <si>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</si>
  <si>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</si>
  <si>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</si>
  <si>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</si>
  <si>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</si>
  <si>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</si>
  <si>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</si>
  <si>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</si>
  <si>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</si>
  <si>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</si>
  <si>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</si>
  <si>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</si>
  <si>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</si>
  <si>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</si>
  <si>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</si>
  <si>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</si>
  <si>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</si>
  <si>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</si>
  <si>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</si>
  <si>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</si>
  <si>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</si>
  <si>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</si>
  <si>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</si>
  <si>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</si>
  <si>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</si>
  <si>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</si>
  <si>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Column1</t>
  </si>
  <si>
    <t>Total profit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</si>
  <si>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</si>
  <si>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</si>
  <si>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</si>
  <si>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</si>
  <si>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</si>
  <si>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</si>
  <si>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</si>
  <si>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</si>
  <si>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</si>
  <si>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</si>
  <si>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</si>
  <si>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</si>
  <si>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</si>
  <si>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</si>
  <si>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</si>
  <si>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</si>
  <si>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</si>
  <si>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</si>
  <si>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</si>
  <si>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</si>
  <si>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</si>
  <si>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</si>
  <si>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</si>
  <si>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</si>
  <si>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</si>
  <si>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</si>
  <si>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</si>
  <si>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</si>
  <si>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</si>
  <si>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</si>
  <si>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</si>
  <si>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</si>
  <si>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</si>
  <si>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</si>
  <si>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</si>
  <si>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</si>
  <si>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</si>
  <si>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Timestamp</t>
  </si>
  <si>
    <t>INDEX &amp; MATCH</t>
  </si>
  <si>
    <t>FILTER</t>
  </si>
  <si>
    <t>Row Labels</t>
  </si>
  <si>
    <t>Grand Total</t>
  </si>
  <si>
    <t>Column Labels</t>
  </si>
  <si>
    <t>Sum of Sales</t>
  </si>
  <si>
    <t>Sum of Profit</t>
  </si>
  <si>
    <t>Date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</si>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</sst>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 style="medium">
        <color rgb="FFCCCCCC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CCCCCC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5" xfId="0" applyFill="1" applyBorder="1" applyAlignment="1">
      <alignment horizontal="centerContinuous" vertical="center" wrapText="1"/>
    </xf>
    <xf numFmtId="0" fontId="0" fillId="0" borderId="5" xfId="0" applyFill="1" applyBorder="1" applyAlignment="1">
      <alignment vertical="center" wrapText="1"/>
    </xf>
    <xf numFmtId="0" fontId="0" fillId="0" borderId="6" xfId="0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4" xfId="0" applyFont="1" applyFill="1" applyBorder="1" applyAlignment="1">
      <alignment horizontal="centerContinuous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Border="1"/>
    <xf numFmtId="0" fontId="0" fillId="0" borderId="14" xfId="0" pivotButton="1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14" xfId="0" applyNumberFormat="1" applyBorder="1"/>
    <xf numFmtId="164" fontId="0" fillId="0" borderId="14" xfId="0" applyNumberFormat="1" applyBorder="1" applyAlignment="1">
      <alignment horizontal="left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14" fontId="0" fillId="0" borderId="14" xfId="0" applyNumberFormat="1" applyFill="1" applyBorder="1" applyAlignment="1">
      <alignment vertical="center" wrapText="1"/>
    </xf>
    <xf numFmtId="22" fontId="0" fillId="0" borderId="19" xfId="0" applyNumberFormat="1" applyBorder="1" applyAlignment="1">
      <alignment horizontal="right" vertical="center" wrapText="1"/>
    </xf>
    <xf numFmtId="0" fontId="0" fillId="0" borderId="20" xfId="0" applyFill="1" applyBorder="1" applyAlignment="1">
      <alignment vertical="center" wrapText="1"/>
    </xf>
    <xf numFmtId="0" fontId="0" fillId="0" borderId="21" xfId="0" applyFill="1" applyBorder="1" applyAlignment="1">
      <alignment vertical="center" wrapText="1"/>
    </xf>
    <xf numFmtId="14" fontId="0" fillId="0" borderId="21" xfId="0" applyNumberFormat="1" applyFill="1" applyBorder="1" applyAlignment="1">
      <alignment vertical="center" wrapText="1"/>
    </xf>
    <xf numFmtId="22" fontId="0" fillId="0" borderId="22" xfId="0" applyNumberFormat="1" applyBorder="1" applyAlignment="1">
      <alignment horizontal="right" vertical="center" wrapText="1"/>
    </xf>
  </cellXfs>
  <cellStyles count="1">
    <cellStyle name="Normal" xfId="0" builtinId="0"/>
  </cellStyles>
  <dxfs count="4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409]d\-mmm;@"/>
    </dxf>
    <dxf>
      <numFmt numFmtId="164" formatCode="[$-409]d\-mmm;@"/>
    </dxf>
    <dxf>
      <numFmt numFmtId="164" formatCode="[$-409]d\-mmm;@"/>
    </dxf>
    <dxf>
      <numFmt numFmtId="164" formatCode="[$-409]d\-mmm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m/d/yyyy\ h:mm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88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[ANALYZER.xlsx]PIVOT TABLE!PivotTable8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'PIVOT TABLE'!$A$12:$A$17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TABLE'!$B$12:$B$17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9262816"/>
        <c:axId val="240964520"/>
      </c:barChart>
      <c:catAx>
        <c:axId val="29926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964520"/>
        <c:crosses val="autoZero"/>
        <c:auto val="1"/>
        <c:lblAlgn val="ctr"/>
        <c:lblOffset val="100"/>
        <c:noMultiLvlLbl val="0"/>
      </c:catAx>
      <c:valAx>
        <c:axId val="240964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26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[ANALYZER.xlsx]PIVOT TABLE!PivotTable9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284852621970917"/>
          <c:y val="0.26488437212901617"/>
          <c:w val="0.70973981560526322"/>
          <c:h val="0.3838144819530300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TABLE'!$E$11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'PIVOT TABLE'!$D$12:$D$160</c:f>
              <c:strCache>
                <c:ptCount val="148"/>
                <c:pt idx="0">
                  <c:v>4/10/2024</c:v>
                </c:pt>
                <c:pt idx="1">
                  <c:v>4/11/2024</c:v>
                </c:pt>
                <c:pt idx="2">
                  <c:v>4/14/2024</c:v>
                </c:pt>
                <c:pt idx="3">
                  <c:v>4/15/2024</c:v>
                </c:pt>
                <c:pt idx="4">
                  <c:v>4/16/2024</c:v>
                </c:pt>
                <c:pt idx="5">
                  <c:v>4/19/2024</c:v>
                </c:pt>
                <c:pt idx="6">
                  <c:v>4/20/2024</c:v>
                </c:pt>
                <c:pt idx="7">
                  <c:v>4/22/2024</c:v>
                </c:pt>
                <c:pt idx="8">
                  <c:v>4/24/2024</c:v>
                </c:pt>
                <c:pt idx="9">
                  <c:v>4/27/2024</c:v>
                </c:pt>
                <c:pt idx="10">
                  <c:v>4/28/2024</c:v>
                </c:pt>
                <c:pt idx="11">
                  <c:v>4/29/2024</c:v>
                </c:pt>
                <c:pt idx="12">
                  <c:v>4/30/2024</c:v>
                </c:pt>
                <c:pt idx="13">
                  <c:v>5/2/2024</c:v>
                </c:pt>
                <c:pt idx="14">
                  <c:v>5/3/2024</c:v>
                </c:pt>
                <c:pt idx="15">
                  <c:v>5/4/2024</c:v>
                </c:pt>
                <c:pt idx="16">
                  <c:v>5/6/2024</c:v>
                </c:pt>
                <c:pt idx="17">
                  <c:v>5/8/2024</c:v>
                </c:pt>
                <c:pt idx="18">
                  <c:v>5/10/2024</c:v>
                </c:pt>
                <c:pt idx="19">
                  <c:v>5/14/2024</c:v>
                </c:pt>
                <c:pt idx="20">
                  <c:v>5/15/2024</c:v>
                </c:pt>
                <c:pt idx="21">
                  <c:v>5/16/2024</c:v>
                </c:pt>
                <c:pt idx="22">
                  <c:v>5/17/2024</c:v>
                </c:pt>
                <c:pt idx="23">
                  <c:v>5/22/2024</c:v>
                </c:pt>
                <c:pt idx="24">
                  <c:v>5/23/2024</c:v>
                </c:pt>
                <c:pt idx="25">
                  <c:v>6/2/2024</c:v>
                </c:pt>
                <c:pt idx="26">
                  <c:v>6/4/2024</c:v>
                </c:pt>
                <c:pt idx="27">
                  <c:v>6/5/2024</c:v>
                </c:pt>
                <c:pt idx="28">
                  <c:v>6/6/2024</c:v>
                </c:pt>
                <c:pt idx="29">
                  <c:v>6/7/2024</c:v>
                </c:pt>
                <c:pt idx="30">
                  <c:v>6/8/2024</c:v>
                </c:pt>
                <c:pt idx="31">
                  <c:v>6/14/2024</c:v>
                </c:pt>
                <c:pt idx="32">
                  <c:v>6/18/2024</c:v>
                </c:pt>
                <c:pt idx="33">
                  <c:v>6/20/2024</c:v>
                </c:pt>
                <c:pt idx="34">
                  <c:v>6/21/2024</c:v>
                </c:pt>
                <c:pt idx="35">
                  <c:v>6/23/2024</c:v>
                </c:pt>
                <c:pt idx="36">
                  <c:v>6/25/2024</c:v>
                </c:pt>
                <c:pt idx="37">
                  <c:v>6/27/2024</c:v>
                </c:pt>
                <c:pt idx="38">
                  <c:v>6/28/2024</c:v>
                </c:pt>
                <c:pt idx="39">
                  <c:v>6/30/2024</c:v>
                </c:pt>
                <c:pt idx="40">
                  <c:v>7/5/2024</c:v>
                </c:pt>
                <c:pt idx="41">
                  <c:v>7/6/2024</c:v>
                </c:pt>
                <c:pt idx="42">
                  <c:v>7/8/2024</c:v>
                </c:pt>
                <c:pt idx="43">
                  <c:v>7/9/2024</c:v>
                </c:pt>
                <c:pt idx="44">
                  <c:v>7/14/2024</c:v>
                </c:pt>
                <c:pt idx="45">
                  <c:v>7/15/2024</c:v>
                </c:pt>
                <c:pt idx="46">
                  <c:v>7/21/2024</c:v>
                </c:pt>
                <c:pt idx="47">
                  <c:v>7/29/2024</c:v>
                </c:pt>
                <c:pt idx="48">
                  <c:v>7/30/2024</c:v>
                </c:pt>
                <c:pt idx="49">
                  <c:v>7/31/2024</c:v>
                </c:pt>
                <c:pt idx="50">
                  <c:v>8/5/2024</c:v>
                </c:pt>
                <c:pt idx="51">
                  <c:v>8/8/2024</c:v>
                </c:pt>
                <c:pt idx="52">
                  <c:v>8/9/2024</c:v>
                </c:pt>
                <c:pt idx="53">
                  <c:v>8/15/2024</c:v>
                </c:pt>
                <c:pt idx="54">
                  <c:v>8/18/2024</c:v>
                </c:pt>
                <c:pt idx="55">
                  <c:v>8/19/2024</c:v>
                </c:pt>
                <c:pt idx="56">
                  <c:v>8/22/2024</c:v>
                </c:pt>
                <c:pt idx="57">
                  <c:v>8/30/2024</c:v>
                </c:pt>
                <c:pt idx="58">
                  <c:v>9/1/2024</c:v>
                </c:pt>
                <c:pt idx="59">
                  <c:v>9/9/2024</c:v>
                </c:pt>
                <c:pt idx="60">
                  <c:v>9/11/2024</c:v>
                </c:pt>
                <c:pt idx="61">
                  <c:v>9/12/2024</c:v>
                </c:pt>
                <c:pt idx="62">
                  <c:v>9/14/2024</c:v>
                </c:pt>
                <c:pt idx="63">
                  <c:v>9/16/2024</c:v>
                </c:pt>
                <c:pt idx="64">
                  <c:v>9/17/2024</c:v>
                </c:pt>
                <c:pt idx="65">
                  <c:v>9/18/2024</c:v>
                </c:pt>
                <c:pt idx="66">
                  <c:v>9/22/2024</c:v>
                </c:pt>
                <c:pt idx="67">
                  <c:v>9/23/2024</c:v>
                </c:pt>
                <c:pt idx="68">
                  <c:v>9/24/2024</c:v>
                </c:pt>
                <c:pt idx="69">
                  <c:v>9/29/2024</c:v>
                </c:pt>
                <c:pt idx="70">
                  <c:v>9/30/2024</c:v>
                </c:pt>
                <c:pt idx="71">
                  <c:v>10/2/2024</c:v>
                </c:pt>
                <c:pt idx="72">
                  <c:v>10/5/2024</c:v>
                </c:pt>
                <c:pt idx="73">
                  <c:v>10/10/2024</c:v>
                </c:pt>
                <c:pt idx="74">
                  <c:v>10/12/2024</c:v>
                </c:pt>
                <c:pt idx="75">
                  <c:v>10/15/2024</c:v>
                </c:pt>
                <c:pt idx="76">
                  <c:v>10/16/2024</c:v>
                </c:pt>
                <c:pt idx="77">
                  <c:v>10/17/2024</c:v>
                </c:pt>
                <c:pt idx="78">
                  <c:v>10/19/2024</c:v>
                </c:pt>
                <c:pt idx="79">
                  <c:v>10/20/2024</c:v>
                </c:pt>
                <c:pt idx="80">
                  <c:v>10/28/2024</c:v>
                </c:pt>
                <c:pt idx="81">
                  <c:v>10/30/2024</c:v>
                </c:pt>
                <c:pt idx="82">
                  <c:v>11/1/2024</c:v>
                </c:pt>
                <c:pt idx="83">
                  <c:v>11/3/2024</c:v>
                </c:pt>
                <c:pt idx="84">
                  <c:v>11/9/2024</c:v>
                </c:pt>
                <c:pt idx="85">
                  <c:v>11/12/2024</c:v>
                </c:pt>
                <c:pt idx="86">
                  <c:v>11/15/2024</c:v>
                </c:pt>
                <c:pt idx="87">
                  <c:v>11/16/2024</c:v>
                </c:pt>
                <c:pt idx="88">
                  <c:v>11/17/2024</c:v>
                </c:pt>
                <c:pt idx="89">
                  <c:v>11/19/2024</c:v>
                </c:pt>
                <c:pt idx="90">
                  <c:v>11/20/2024</c:v>
                </c:pt>
                <c:pt idx="91">
                  <c:v>11/26/2024</c:v>
                </c:pt>
                <c:pt idx="92">
                  <c:v>11/28/2024</c:v>
                </c:pt>
                <c:pt idx="93">
                  <c:v>11/29/2024</c:v>
                </c:pt>
                <c:pt idx="94">
                  <c:v>11/30/2024</c:v>
                </c:pt>
                <c:pt idx="95">
                  <c:v>12/4/2024</c:v>
                </c:pt>
                <c:pt idx="96">
                  <c:v>12/5/2024</c:v>
                </c:pt>
                <c:pt idx="97">
                  <c:v>12/12/2024</c:v>
                </c:pt>
                <c:pt idx="98">
                  <c:v>12/14/2024</c:v>
                </c:pt>
                <c:pt idx="99">
                  <c:v>12/20/2024</c:v>
                </c:pt>
                <c:pt idx="100">
                  <c:v>12/21/2024</c:v>
                </c:pt>
                <c:pt idx="101">
                  <c:v>12/24/2024</c:v>
                </c:pt>
                <c:pt idx="102">
                  <c:v>12/25/2024</c:v>
                </c:pt>
                <c:pt idx="103">
                  <c:v>12/30/2024</c:v>
                </c:pt>
                <c:pt idx="104">
                  <c:v>1/1/2025</c:v>
                </c:pt>
                <c:pt idx="105">
                  <c:v>1/2/2025</c:v>
                </c:pt>
                <c:pt idx="106">
                  <c:v>1/3/2025</c:v>
                </c:pt>
                <c:pt idx="107">
                  <c:v>1/6/2025</c:v>
                </c:pt>
                <c:pt idx="108">
                  <c:v>1/10/2025</c:v>
                </c:pt>
                <c:pt idx="109">
                  <c:v>1/12/2025</c:v>
                </c:pt>
                <c:pt idx="110">
                  <c:v>1/13/2025</c:v>
                </c:pt>
                <c:pt idx="111">
                  <c:v>1/16/2025</c:v>
                </c:pt>
                <c:pt idx="112">
                  <c:v>1/17/2025</c:v>
                </c:pt>
                <c:pt idx="113">
                  <c:v>1/20/2025</c:v>
                </c:pt>
                <c:pt idx="114">
                  <c:v>1/21/2025</c:v>
                </c:pt>
                <c:pt idx="115">
                  <c:v>1/27/2025</c:v>
                </c:pt>
                <c:pt idx="116">
                  <c:v>2/2/2025</c:v>
                </c:pt>
                <c:pt idx="117">
                  <c:v>2/4/2025</c:v>
                </c:pt>
                <c:pt idx="118">
                  <c:v>2/5/2025</c:v>
                </c:pt>
                <c:pt idx="119">
                  <c:v>2/7/2025</c:v>
                </c:pt>
                <c:pt idx="120">
                  <c:v>2/10/2025</c:v>
                </c:pt>
                <c:pt idx="121">
                  <c:v>2/15/2025</c:v>
                </c:pt>
                <c:pt idx="122">
                  <c:v>2/17/2025</c:v>
                </c:pt>
                <c:pt idx="123">
                  <c:v>2/19/2025</c:v>
                </c:pt>
                <c:pt idx="124">
                  <c:v>2/20/2025</c:v>
                </c:pt>
                <c:pt idx="125">
                  <c:v>2/21/2025</c:v>
                </c:pt>
                <c:pt idx="126">
                  <c:v>2/24/2025</c:v>
                </c:pt>
                <c:pt idx="127">
                  <c:v>2/25/2025</c:v>
                </c:pt>
                <c:pt idx="128">
                  <c:v>2/27/2025</c:v>
                </c:pt>
                <c:pt idx="129">
                  <c:v>3/1/2025</c:v>
                </c:pt>
                <c:pt idx="130">
                  <c:v>3/2/2025</c:v>
                </c:pt>
                <c:pt idx="131">
                  <c:v>3/5/2025</c:v>
                </c:pt>
                <c:pt idx="132">
                  <c:v>3/8/2025</c:v>
                </c:pt>
                <c:pt idx="133">
                  <c:v>3/9/2025</c:v>
                </c:pt>
                <c:pt idx="134">
                  <c:v>3/10/2025</c:v>
                </c:pt>
                <c:pt idx="135">
                  <c:v>3/11/2025</c:v>
                </c:pt>
                <c:pt idx="136">
                  <c:v>3/17/2025</c:v>
                </c:pt>
                <c:pt idx="137">
                  <c:v>3/18/2025</c:v>
                </c:pt>
                <c:pt idx="138">
                  <c:v>3/20/2025</c:v>
                </c:pt>
                <c:pt idx="139">
                  <c:v>3/22/2025</c:v>
                </c:pt>
                <c:pt idx="140">
                  <c:v>3/25/2025</c:v>
                </c:pt>
                <c:pt idx="141">
                  <c:v>3/26/2025</c:v>
                </c:pt>
                <c:pt idx="142">
                  <c:v>3/27/2025</c:v>
                </c:pt>
                <c:pt idx="143">
                  <c:v>3/29/2025</c:v>
                </c:pt>
                <c:pt idx="144">
                  <c:v>3/30/2025</c:v>
                </c:pt>
                <c:pt idx="145">
                  <c:v>4/2/2025</c:v>
                </c:pt>
                <c:pt idx="146">
                  <c:v>4/5/2025</c:v>
                </c:pt>
                <c:pt idx="147">
                  <c:v>4/7/2025</c:v>
                </c:pt>
              </c:strCache>
            </c:strRef>
          </c:cat>
          <c:val>
            <c:numRef>
              <c:f>'PIVOT TABLE'!$E$12:$E$160</c:f>
              <c:numCache>
                <c:formatCode>General</c:formatCode>
                <c:ptCount val="148"/>
                <c:pt idx="0">
                  <c:v>1036.0899999999999</c:v>
                </c:pt>
                <c:pt idx="1">
                  <c:v>1101.28</c:v>
                </c:pt>
                <c:pt idx="2">
                  <c:v>1474.27</c:v>
                </c:pt>
                <c:pt idx="3">
                  <c:v>847</c:v>
                </c:pt>
                <c:pt idx="4">
                  <c:v>2283.17</c:v>
                </c:pt>
                <c:pt idx="5">
                  <c:v>2313.3199999999997</c:v>
                </c:pt>
                <c:pt idx="6">
                  <c:v>1572.82</c:v>
                </c:pt>
                <c:pt idx="7">
                  <c:v>1343.13</c:v>
                </c:pt>
                <c:pt idx="8">
                  <c:v>2013.86</c:v>
                </c:pt>
                <c:pt idx="9">
                  <c:v>521.66999999999996</c:v>
                </c:pt>
                <c:pt idx="10">
                  <c:v>1502.93</c:v>
                </c:pt>
                <c:pt idx="11">
                  <c:v>1514.2800000000002</c:v>
                </c:pt>
                <c:pt idx="12">
                  <c:v>1506.14</c:v>
                </c:pt>
                <c:pt idx="13">
                  <c:v>645.02</c:v>
                </c:pt>
                <c:pt idx="14">
                  <c:v>953.3</c:v>
                </c:pt>
                <c:pt idx="15">
                  <c:v>1838.1</c:v>
                </c:pt>
                <c:pt idx="16">
                  <c:v>2098.4299999999998</c:v>
                </c:pt>
                <c:pt idx="17">
                  <c:v>675.54</c:v>
                </c:pt>
                <c:pt idx="18">
                  <c:v>939.09</c:v>
                </c:pt>
                <c:pt idx="19">
                  <c:v>1784.5500000000002</c:v>
                </c:pt>
                <c:pt idx="20">
                  <c:v>1450.71</c:v>
                </c:pt>
                <c:pt idx="21">
                  <c:v>1876.93</c:v>
                </c:pt>
                <c:pt idx="22">
                  <c:v>3482.09</c:v>
                </c:pt>
                <c:pt idx="23">
                  <c:v>2183.15</c:v>
                </c:pt>
                <c:pt idx="24">
                  <c:v>580.42999999999995</c:v>
                </c:pt>
                <c:pt idx="25">
                  <c:v>1151.21</c:v>
                </c:pt>
                <c:pt idx="26">
                  <c:v>1582.4</c:v>
                </c:pt>
                <c:pt idx="27">
                  <c:v>2068.1</c:v>
                </c:pt>
                <c:pt idx="28">
                  <c:v>2082.12</c:v>
                </c:pt>
                <c:pt idx="29">
                  <c:v>1001.57</c:v>
                </c:pt>
                <c:pt idx="30">
                  <c:v>1186.8499999999999</c:v>
                </c:pt>
                <c:pt idx="31">
                  <c:v>775.45</c:v>
                </c:pt>
                <c:pt idx="32">
                  <c:v>1021.47</c:v>
                </c:pt>
                <c:pt idx="33">
                  <c:v>1226.6199999999999</c:v>
                </c:pt>
                <c:pt idx="34">
                  <c:v>1086.93</c:v>
                </c:pt>
                <c:pt idx="35">
                  <c:v>942.9</c:v>
                </c:pt>
                <c:pt idx="36">
                  <c:v>1737.84</c:v>
                </c:pt>
                <c:pt idx="37">
                  <c:v>973.26</c:v>
                </c:pt>
                <c:pt idx="38">
                  <c:v>741.61</c:v>
                </c:pt>
                <c:pt idx="39">
                  <c:v>2609.1799999999998</c:v>
                </c:pt>
                <c:pt idx="40">
                  <c:v>1383.3</c:v>
                </c:pt>
                <c:pt idx="41">
                  <c:v>488.99</c:v>
                </c:pt>
                <c:pt idx="42">
                  <c:v>1939.24</c:v>
                </c:pt>
                <c:pt idx="43">
                  <c:v>1100.0999999999999</c:v>
                </c:pt>
                <c:pt idx="44">
                  <c:v>1034.7</c:v>
                </c:pt>
                <c:pt idx="45">
                  <c:v>2247.7799999999997</c:v>
                </c:pt>
                <c:pt idx="46">
                  <c:v>1020.26</c:v>
                </c:pt>
                <c:pt idx="47">
                  <c:v>804.81</c:v>
                </c:pt>
                <c:pt idx="48">
                  <c:v>608.66</c:v>
                </c:pt>
                <c:pt idx="49">
                  <c:v>981.2</c:v>
                </c:pt>
                <c:pt idx="50">
                  <c:v>1344.22</c:v>
                </c:pt>
                <c:pt idx="51">
                  <c:v>1526.6</c:v>
                </c:pt>
                <c:pt idx="52">
                  <c:v>1215.26</c:v>
                </c:pt>
                <c:pt idx="53">
                  <c:v>1261.3399999999999</c:v>
                </c:pt>
                <c:pt idx="54">
                  <c:v>518.07000000000005</c:v>
                </c:pt>
                <c:pt idx="55">
                  <c:v>1111.3399999999999</c:v>
                </c:pt>
                <c:pt idx="56">
                  <c:v>1291.47</c:v>
                </c:pt>
                <c:pt idx="57">
                  <c:v>1823.4</c:v>
                </c:pt>
                <c:pt idx="58">
                  <c:v>1860.7600000000002</c:v>
                </c:pt>
                <c:pt idx="59">
                  <c:v>2504.7600000000002</c:v>
                </c:pt>
                <c:pt idx="60">
                  <c:v>873.7</c:v>
                </c:pt>
                <c:pt idx="61">
                  <c:v>1443.98</c:v>
                </c:pt>
                <c:pt idx="62">
                  <c:v>2418.8199999999997</c:v>
                </c:pt>
                <c:pt idx="63">
                  <c:v>1101.55</c:v>
                </c:pt>
                <c:pt idx="64">
                  <c:v>1603.1399999999999</c:v>
                </c:pt>
                <c:pt idx="65">
                  <c:v>1158.94</c:v>
                </c:pt>
                <c:pt idx="66">
                  <c:v>966.3</c:v>
                </c:pt>
                <c:pt idx="67">
                  <c:v>917.48</c:v>
                </c:pt>
                <c:pt idx="68">
                  <c:v>2378.79</c:v>
                </c:pt>
                <c:pt idx="69">
                  <c:v>1729.12</c:v>
                </c:pt>
                <c:pt idx="70">
                  <c:v>1576.16</c:v>
                </c:pt>
                <c:pt idx="71">
                  <c:v>1014.09</c:v>
                </c:pt>
                <c:pt idx="72">
                  <c:v>925.29</c:v>
                </c:pt>
                <c:pt idx="73">
                  <c:v>1286.54</c:v>
                </c:pt>
                <c:pt idx="74">
                  <c:v>2042.7600000000002</c:v>
                </c:pt>
                <c:pt idx="75">
                  <c:v>1923.66</c:v>
                </c:pt>
                <c:pt idx="76">
                  <c:v>2030.6000000000001</c:v>
                </c:pt>
                <c:pt idx="77">
                  <c:v>980.18</c:v>
                </c:pt>
                <c:pt idx="78">
                  <c:v>1891.1799999999998</c:v>
                </c:pt>
                <c:pt idx="79">
                  <c:v>771.02</c:v>
                </c:pt>
                <c:pt idx="80">
                  <c:v>661.09</c:v>
                </c:pt>
                <c:pt idx="81">
                  <c:v>688.83</c:v>
                </c:pt>
                <c:pt idx="82">
                  <c:v>1249.0999999999999</c:v>
                </c:pt>
                <c:pt idx="83">
                  <c:v>1014.22</c:v>
                </c:pt>
                <c:pt idx="84">
                  <c:v>1967.87</c:v>
                </c:pt>
                <c:pt idx="85">
                  <c:v>1077.92</c:v>
                </c:pt>
                <c:pt idx="86">
                  <c:v>1163.01</c:v>
                </c:pt>
                <c:pt idx="87">
                  <c:v>1014.56</c:v>
                </c:pt>
                <c:pt idx="88">
                  <c:v>2702.62</c:v>
                </c:pt>
                <c:pt idx="89">
                  <c:v>3680.1</c:v>
                </c:pt>
                <c:pt idx="90">
                  <c:v>1471.99</c:v>
                </c:pt>
                <c:pt idx="91">
                  <c:v>2004.1399999999999</c:v>
                </c:pt>
                <c:pt idx="92">
                  <c:v>1061.04</c:v>
                </c:pt>
                <c:pt idx="93">
                  <c:v>894.55</c:v>
                </c:pt>
                <c:pt idx="94">
                  <c:v>833.91</c:v>
                </c:pt>
                <c:pt idx="95">
                  <c:v>820.19</c:v>
                </c:pt>
                <c:pt idx="96">
                  <c:v>511.74</c:v>
                </c:pt>
                <c:pt idx="97">
                  <c:v>806.03</c:v>
                </c:pt>
                <c:pt idx="98">
                  <c:v>2921.05</c:v>
                </c:pt>
                <c:pt idx="99">
                  <c:v>1231.26</c:v>
                </c:pt>
                <c:pt idx="100">
                  <c:v>1161.67</c:v>
                </c:pt>
                <c:pt idx="101">
                  <c:v>388.23</c:v>
                </c:pt>
                <c:pt idx="102">
                  <c:v>1926.0800000000002</c:v>
                </c:pt>
                <c:pt idx="103">
                  <c:v>1353.79</c:v>
                </c:pt>
                <c:pt idx="104">
                  <c:v>972.03</c:v>
                </c:pt>
                <c:pt idx="105">
                  <c:v>884.63</c:v>
                </c:pt>
                <c:pt idx="106">
                  <c:v>1615.28</c:v>
                </c:pt>
                <c:pt idx="107">
                  <c:v>862.19</c:v>
                </c:pt>
                <c:pt idx="108">
                  <c:v>1171.18</c:v>
                </c:pt>
                <c:pt idx="109">
                  <c:v>1054.56</c:v>
                </c:pt>
                <c:pt idx="110">
                  <c:v>1681.21</c:v>
                </c:pt>
                <c:pt idx="111">
                  <c:v>379.77</c:v>
                </c:pt>
                <c:pt idx="112">
                  <c:v>3445.38</c:v>
                </c:pt>
                <c:pt idx="113">
                  <c:v>1622.62</c:v>
                </c:pt>
                <c:pt idx="114">
                  <c:v>640.64</c:v>
                </c:pt>
                <c:pt idx="115">
                  <c:v>585.16</c:v>
                </c:pt>
                <c:pt idx="116">
                  <c:v>1109.98</c:v>
                </c:pt>
                <c:pt idx="117">
                  <c:v>1098.08</c:v>
                </c:pt>
                <c:pt idx="118">
                  <c:v>827.25</c:v>
                </c:pt>
                <c:pt idx="119">
                  <c:v>741.88</c:v>
                </c:pt>
                <c:pt idx="120">
                  <c:v>1311.26</c:v>
                </c:pt>
                <c:pt idx="121">
                  <c:v>573.32000000000005</c:v>
                </c:pt>
                <c:pt idx="122">
                  <c:v>1115.22</c:v>
                </c:pt>
                <c:pt idx="123">
                  <c:v>845.84</c:v>
                </c:pt>
                <c:pt idx="124">
                  <c:v>1029.8</c:v>
                </c:pt>
                <c:pt idx="125">
                  <c:v>1189.83</c:v>
                </c:pt>
                <c:pt idx="126">
                  <c:v>2322.5</c:v>
                </c:pt>
                <c:pt idx="127">
                  <c:v>1014.43</c:v>
                </c:pt>
                <c:pt idx="128">
                  <c:v>826.97</c:v>
                </c:pt>
                <c:pt idx="129">
                  <c:v>1022.23</c:v>
                </c:pt>
                <c:pt idx="130">
                  <c:v>1099.69</c:v>
                </c:pt>
                <c:pt idx="131">
                  <c:v>710.52</c:v>
                </c:pt>
                <c:pt idx="132">
                  <c:v>499.18</c:v>
                </c:pt>
                <c:pt idx="133">
                  <c:v>1064.19</c:v>
                </c:pt>
                <c:pt idx="134">
                  <c:v>438.76</c:v>
                </c:pt>
                <c:pt idx="135">
                  <c:v>864.98</c:v>
                </c:pt>
                <c:pt idx="136">
                  <c:v>984.93</c:v>
                </c:pt>
                <c:pt idx="137">
                  <c:v>1493.49</c:v>
                </c:pt>
                <c:pt idx="138">
                  <c:v>689.43</c:v>
                </c:pt>
                <c:pt idx="139">
                  <c:v>682.24</c:v>
                </c:pt>
                <c:pt idx="140">
                  <c:v>458.54</c:v>
                </c:pt>
                <c:pt idx="141">
                  <c:v>1184.25</c:v>
                </c:pt>
                <c:pt idx="142">
                  <c:v>1512.85</c:v>
                </c:pt>
                <c:pt idx="143">
                  <c:v>2550.3200000000002</c:v>
                </c:pt>
                <c:pt idx="144">
                  <c:v>2399.62</c:v>
                </c:pt>
                <c:pt idx="145">
                  <c:v>740.8</c:v>
                </c:pt>
                <c:pt idx="146">
                  <c:v>1543.0500000000002</c:v>
                </c:pt>
                <c:pt idx="147">
                  <c:v>928.32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965304"/>
        <c:axId val="240963736"/>
      </c:lineChart>
      <c:catAx>
        <c:axId val="240965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963736"/>
        <c:crosses val="autoZero"/>
        <c:auto val="1"/>
        <c:lblAlgn val="ctr"/>
        <c:lblOffset val="100"/>
        <c:noMultiLvlLbl val="0"/>
      </c:catAx>
      <c:valAx>
        <c:axId val="24096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965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[ANALYZER.xlsx]PIVOT TABLE!PivotTable11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6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shade val="53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TABLE'!$H$11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6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TABLE'!$G$12:$G$17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'PIVOT TABLE'!$H$12:$H$17</c:f>
              <c:numCache>
                <c:formatCode>General</c:formatCode>
                <c:ptCount val="5"/>
                <c:pt idx="0">
                  <c:v>16901.630000000005</c:v>
                </c:pt>
                <c:pt idx="1">
                  <c:v>18784.490000000002</c:v>
                </c:pt>
                <c:pt idx="2">
                  <c:v>9182.1500000000015</c:v>
                </c:pt>
                <c:pt idx="3">
                  <c:v>11579.140000000003</c:v>
                </c:pt>
                <c:pt idx="4">
                  <c:v>11839.599999999999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571500</xdr:colOff>
      <xdr:row>18</xdr:row>
      <xdr:rowOff>0</xdr:rowOff>
    </xdr:to>
    <xdr:sp macro="" textlink="">
      <xdr:nvSpPr>
        <xdr:cNvPr id="2" name="Rectangle 1"/>
        <xdr:cNvSpPr/>
      </xdr:nvSpPr>
      <xdr:spPr>
        <a:xfrm>
          <a:off x="0" y="0"/>
          <a:ext cx="11603935" cy="3429000"/>
        </a:xfrm>
        <a:prstGeom prst="rect">
          <a:avLst/>
        </a:prstGeom>
        <a:solidFill>
          <a:srgbClr val="28845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 u="sng">
              <a:latin typeface="Franklin Gothic Demi" panose="020B0703020102020204" pitchFamily="34" charset="0"/>
            </a:rPr>
            <a:t>Sales</a:t>
          </a:r>
          <a:r>
            <a:rPr lang="en-US" sz="2000" b="1" u="sng" baseline="0">
              <a:latin typeface="Franklin Gothic Demi" panose="020B0703020102020204" pitchFamily="34" charset="0"/>
            </a:rPr>
            <a:t> Data Dashboard</a:t>
          </a:r>
          <a:endParaRPr lang="en-US" sz="2000" b="1" u="sng">
            <a:latin typeface="Franklin Gothic Demi" panose="020B0703020102020204" pitchFamily="34" charset="0"/>
          </a:endParaRPr>
        </a:p>
      </xdr:txBody>
    </xdr:sp>
    <xdr:clientData/>
  </xdr:twoCellAnchor>
  <xdr:twoCellAnchor>
    <xdr:from>
      <xdr:col>0</xdr:col>
      <xdr:colOff>310992</xdr:colOff>
      <xdr:row>3</xdr:row>
      <xdr:rowOff>21123</xdr:rowOff>
    </xdr:from>
    <xdr:to>
      <xdr:col>6</xdr:col>
      <xdr:colOff>40584</xdr:colOff>
      <xdr:row>16</xdr:row>
      <xdr:rowOff>117613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376859</xdr:colOff>
      <xdr:row>3</xdr:row>
      <xdr:rowOff>16565</xdr:rowOff>
    </xdr:from>
    <xdr:to>
      <xdr:col>12</xdr:col>
      <xdr:colOff>451401</xdr:colOff>
      <xdr:row>16</xdr:row>
      <xdr:rowOff>101772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119986</xdr:colOff>
      <xdr:row>3</xdr:row>
      <xdr:rowOff>9937</xdr:rowOff>
    </xdr:from>
    <xdr:to>
      <xdr:col>18</xdr:col>
      <xdr:colOff>50608</xdr:colOff>
      <xdr:row>16</xdr:row>
      <xdr:rowOff>109153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94.456375000002" createdVersion="5" refreshedVersion="5" minRefreshableVersion="3" recordCount="200">
  <cacheSource type="worksheet">
    <worksheetSource name="Table1"/>
  </cacheSource>
  <cacheFields count="11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</cacheField>
    <cacheField name="Profit" numFmtId="0">
      <sharedItems containsSemiMixedTypes="0" containsString="0" containsNumber="1" minValue="64.63" maxValue="769.46"/>
    </cacheField>
    <cacheField name="Total profit" numFmtId="0">
      <sharedItems containsSemiMixedTypes="0" containsString="0" containsNumber="1" minValue="0" maxValue="384.73200000000003"/>
    </cacheField>
    <cacheField name="Timestamp" numFmtId="22">
      <sharedItems containsSemiMixedTypes="0" containsNonDate="0" containsDate="1" containsString="0" minDate="2026-03-13T10:46:39" maxDate="2026-03-13T10:46: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s v="CUST019"/>
    <s v="James Davis"/>
    <x v="0"/>
    <x v="0"/>
    <n v="1036.0899999999999"/>
    <n v="4"/>
    <n v="0.2"/>
    <x v="0"/>
    <n v="331.55"/>
    <n v="207.21799999999999"/>
    <d v="2026-03-13T10:46:39"/>
  </r>
  <r>
    <s v="CUST012"/>
    <s v="Robert Anderson"/>
    <x v="0"/>
    <x v="1"/>
    <n v="1101.28"/>
    <n v="3"/>
    <n v="0.2"/>
    <x v="1"/>
    <n v="440.51"/>
    <n v="220.256"/>
    <d v="2026-03-13T10:46:39"/>
  </r>
  <r>
    <s v="CUST017"/>
    <s v="James Taylor"/>
    <x v="1"/>
    <x v="0"/>
    <n v="713.34"/>
    <n v="17"/>
    <n v="0"/>
    <x v="2"/>
    <n v="285.33999999999997"/>
    <n v="0"/>
    <d v="2026-03-13T10:46:39"/>
  </r>
  <r>
    <s v="CUST005"/>
    <s v="Robert Anderson"/>
    <x v="2"/>
    <x v="2"/>
    <n v="760.93"/>
    <n v="4"/>
    <n v="0.15"/>
    <x v="2"/>
    <n v="161.69999999999999"/>
    <n v="114.13949999999998"/>
    <d v="2026-03-13T10:46:39"/>
  </r>
  <r>
    <s v="CUST030"/>
    <s v="James Wilson"/>
    <x v="3"/>
    <x v="0"/>
    <n v="847"/>
    <n v="12"/>
    <n v="0.2"/>
    <x v="3"/>
    <n v="271.04000000000002"/>
    <n v="169.4"/>
    <d v="2026-03-13T10:46:39"/>
  </r>
  <r>
    <s v="CUST007"/>
    <s v="Michael Anderson"/>
    <x v="3"/>
    <x v="3"/>
    <n v="965.64"/>
    <n v="8"/>
    <n v="0.1"/>
    <x v="4"/>
    <n v="304.18"/>
    <n v="96.564000000000007"/>
    <d v="2026-03-13T10:46:39"/>
  </r>
  <r>
    <s v="CUST001"/>
    <s v="Linda Wilson"/>
    <x v="0"/>
    <x v="2"/>
    <n v="1317.53"/>
    <n v="12"/>
    <n v="0.05"/>
    <x v="4"/>
    <n v="312.91000000000003"/>
    <n v="65.876500000000007"/>
    <d v="2026-03-13T10:46:39"/>
  </r>
  <r>
    <s v="CUST026"/>
    <s v="Mary Davis"/>
    <x v="1"/>
    <x v="3"/>
    <n v="1074.47"/>
    <n v="6"/>
    <n v="0.2"/>
    <x v="5"/>
    <n v="300.85000000000002"/>
    <n v="214.89400000000001"/>
    <d v="2026-03-13T10:46:39"/>
  </r>
  <r>
    <s v="CUST009"/>
    <s v="Linda Jackson"/>
    <x v="4"/>
    <x v="0"/>
    <n v="501.54"/>
    <n v="11"/>
    <n v="0.05"/>
    <x v="5"/>
    <n v="190.59"/>
    <n v="25.077000000000002"/>
    <d v="2026-03-13T10:46:39"/>
  </r>
  <r>
    <s v="CUST010"/>
    <s v="David Thomas"/>
    <x v="4"/>
    <x v="1"/>
    <n v="737.31"/>
    <n v="2"/>
    <n v="0.05"/>
    <x v="5"/>
    <n v="350.22"/>
    <n v="36.865499999999997"/>
    <d v="2026-03-13T10:46:39"/>
  </r>
  <r>
    <s v="CUST014"/>
    <s v="Emma Davis"/>
    <x v="0"/>
    <x v="4"/>
    <n v="1572.82"/>
    <n v="6"/>
    <n v="0.05"/>
    <x v="6"/>
    <n v="672.38"/>
    <n v="78.641000000000005"/>
    <d v="2026-03-13T10:46:39"/>
  </r>
  <r>
    <s v="CUST014"/>
    <s v="David Thomas"/>
    <x v="4"/>
    <x v="0"/>
    <n v="1343.13"/>
    <n v="14"/>
    <n v="0.15"/>
    <x v="7"/>
    <n v="456.66"/>
    <n v="201.46950000000001"/>
    <d v="2026-03-13T10:46:39"/>
  </r>
  <r>
    <s v="CUST007"/>
    <s v="Michael Anderson"/>
    <x v="4"/>
    <x v="0"/>
    <n v="1191.58"/>
    <n v="14"/>
    <n v="0.05"/>
    <x v="8"/>
    <n v="452.8"/>
    <n v="59.579000000000001"/>
    <d v="2026-03-13T10:46:39"/>
  </r>
  <r>
    <s v="CUST023"/>
    <s v="Robert Anderson"/>
    <x v="0"/>
    <x v="3"/>
    <n v="822.28"/>
    <n v="7"/>
    <n v="0.05"/>
    <x v="8"/>
    <n v="273.41000000000003"/>
    <n v="41.114000000000004"/>
    <d v="2026-03-13T10:46:39"/>
  </r>
  <r>
    <s v="CUST029"/>
    <s v="David Smith"/>
    <x v="3"/>
    <x v="3"/>
    <n v="521.66999999999996"/>
    <n v="15"/>
    <n v="0.15"/>
    <x v="9"/>
    <n v="155.19999999999999"/>
    <n v="78.250499999999988"/>
    <d v="2026-03-13T10:46:39"/>
  </r>
  <r>
    <s v="CUST005"/>
    <s v="Sarah Anderson"/>
    <x v="2"/>
    <x v="2"/>
    <n v="1502.93"/>
    <n v="14"/>
    <n v="0.2"/>
    <x v="10"/>
    <n v="300.58999999999997"/>
    <n v="300.58600000000001"/>
    <d v="2026-03-13T10:46:39"/>
  </r>
  <r>
    <s v="CUST008"/>
    <s v="Robert Anderson"/>
    <x v="2"/>
    <x v="0"/>
    <n v="877.58"/>
    <n v="10"/>
    <n v="0.15"/>
    <x v="11"/>
    <n v="298.38"/>
    <n v="131.637"/>
    <d v="2026-03-13T10:46:39"/>
  </r>
  <r>
    <s v="CUST001"/>
    <s v="Lisa Thomas"/>
    <x v="0"/>
    <x v="0"/>
    <n v="636.70000000000005"/>
    <n v="4"/>
    <n v="0.2"/>
    <x v="11"/>
    <n v="203.74"/>
    <n v="127.34000000000002"/>
    <d v="2026-03-13T10:46:39"/>
  </r>
  <r>
    <s v="CUST006"/>
    <s v="Mary Jackson"/>
    <x v="0"/>
    <x v="0"/>
    <n v="1506.14"/>
    <n v="13"/>
    <n v="0.2"/>
    <x v="12"/>
    <n v="481.96"/>
    <n v="301.22800000000001"/>
    <d v="2026-03-13T10:46:39"/>
  </r>
  <r>
    <s v="CUST026"/>
    <s v="Mary Davis"/>
    <x v="4"/>
    <x v="2"/>
    <n v="645.02"/>
    <n v="4"/>
    <n v="0"/>
    <x v="13"/>
    <n v="161.26"/>
    <n v="0"/>
    <d v="2026-03-13T10:46:39"/>
  </r>
  <r>
    <s v="CUST007"/>
    <s v="Lisa Davis"/>
    <x v="2"/>
    <x v="1"/>
    <n v="953.3"/>
    <n v="11"/>
    <n v="0"/>
    <x v="14"/>
    <n v="476.65"/>
    <n v="0"/>
    <d v="2026-03-13T10:46:39"/>
  </r>
  <r>
    <s v="CUST022"/>
    <s v="Robert Anderson"/>
    <x v="3"/>
    <x v="2"/>
    <n v="388.56"/>
    <n v="14"/>
    <n v="0.15"/>
    <x v="15"/>
    <n v="82.57"/>
    <n v="58.283999999999999"/>
    <d v="2026-03-13T10:46:39"/>
  </r>
  <r>
    <s v="CUST019"/>
    <s v="Mary Davis"/>
    <x v="0"/>
    <x v="0"/>
    <n v="743.17"/>
    <n v="9"/>
    <n v="0"/>
    <x v="15"/>
    <n v="297.27"/>
    <n v="0"/>
    <d v="2026-03-13T10:46:39"/>
  </r>
  <r>
    <s v="CUST023"/>
    <s v="Mary Davis"/>
    <x v="4"/>
    <x v="2"/>
    <n v="706.37"/>
    <n v="6"/>
    <n v="0"/>
    <x v="15"/>
    <n v="176.59"/>
    <n v="0"/>
    <d v="2026-03-13T10:46:39"/>
  </r>
  <r>
    <s v="CUST012"/>
    <s v="Mary Davis"/>
    <x v="4"/>
    <x v="4"/>
    <n v="925.31"/>
    <n v="8"/>
    <n v="0.1"/>
    <x v="16"/>
    <n v="374.75"/>
    <n v="92.531000000000006"/>
    <d v="2026-03-13T10:46:39"/>
  </r>
  <r>
    <s v="CUST010"/>
    <s v="Linda Brown"/>
    <x v="2"/>
    <x v="2"/>
    <n v="1173.1199999999999"/>
    <n v="18"/>
    <n v="0"/>
    <x v="16"/>
    <n v="293.27999999999997"/>
    <n v="0"/>
    <d v="2026-03-13T10:46:39"/>
  </r>
  <r>
    <s v="CUST030"/>
    <s v="John Brown"/>
    <x v="3"/>
    <x v="3"/>
    <n v="675.54"/>
    <n v="17"/>
    <n v="0"/>
    <x v="17"/>
    <n v="236.44"/>
    <n v="0"/>
    <d v="2026-03-13T10:46:39"/>
  </r>
  <r>
    <s v="CUST007"/>
    <s v="Robert Anderson"/>
    <x v="4"/>
    <x v="0"/>
    <n v="939.09"/>
    <n v="2"/>
    <n v="0.05"/>
    <x v="18"/>
    <n v="356.85"/>
    <n v="46.954500000000003"/>
    <d v="2026-03-13T10:46:39"/>
  </r>
  <r>
    <s v="CUST028"/>
    <s v="Linda Taylor"/>
    <x v="1"/>
    <x v="4"/>
    <n v="983.34"/>
    <n v="19"/>
    <n v="0.1"/>
    <x v="19"/>
    <n v="398.25"/>
    <n v="98.334000000000003"/>
    <d v="2026-03-13T10:46:39"/>
  </r>
  <r>
    <s v="CUST028"/>
    <s v="James Wilson"/>
    <x v="2"/>
    <x v="2"/>
    <n v="801.21"/>
    <n v="3"/>
    <n v="0.2"/>
    <x v="19"/>
    <n v="160.24"/>
    <n v="160.24200000000002"/>
    <d v="2026-03-13T10:46:39"/>
  </r>
  <r>
    <s v="CUST025"/>
    <s v="David Brown"/>
    <x v="3"/>
    <x v="2"/>
    <n v="1450.71"/>
    <n v="5"/>
    <n v="0.1"/>
    <x v="20"/>
    <n v="326.41000000000003"/>
    <n v="145.071"/>
    <d v="2026-03-13T10:46:39"/>
  </r>
  <r>
    <s v="CUST022"/>
    <s v="David Davis"/>
    <x v="4"/>
    <x v="0"/>
    <n v="1023.21"/>
    <n v="18"/>
    <n v="0.05"/>
    <x v="21"/>
    <n v="388.82"/>
    <n v="51.160500000000006"/>
    <d v="2026-03-13T10:46:39"/>
  </r>
  <r>
    <s v="CUST001"/>
    <s v="Mary Jackson"/>
    <x v="0"/>
    <x v="3"/>
    <n v="853.72"/>
    <n v="5"/>
    <n v="0.15"/>
    <x v="21"/>
    <n v="253.98"/>
    <n v="128.05799999999999"/>
    <d v="2026-03-13T10:46:39"/>
  </r>
  <r>
    <s v="CUST021"/>
    <s v="Sarah Anderson"/>
    <x v="2"/>
    <x v="2"/>
    <n v="967.89"/>
    <n v="10"/>
    <n v="0.1"/>
    <x v="22"/>
    <n v="217.78"/>
    <n v="96.789000000000001"/>
    <d v="2026-03-13T10:46:39"/>
  </r>
  <r>
    <s v="CUST015"/>
    <s v="Linda Taylor"/>
    <x v="3"/>
    <x v="4"/>
    <n v="1200.9000000000001"/>
    <n v="14"/>
    <n v="0.05"/>
    <x v="22"/>
    <n v="513.38"/>
    <n v="60.045000000000009"/>
    <d v="2026-03-13T10:46:39"/>
  </r>
  <r>
    <s v="CUST012"/>
    <s v="Michael Anderson"/>
    <x v="0"/>
    <x v="0"/>
    <n v="472.38"/>
    <n v="12"/>
    <n v="0.2"/>
    <x v="22"/>
    <n v="151.16"/>
    <n v="94.475999999999999"/>
    <d v="2026-03-13T10:46:39"/>
  </r>
  <r>
    <s v="CUST019"/>
    <s v="David Brown"/>
    <x v="1"/>
    <x v="4"/>
    <n v="840.92"/>
    <n v="9"/>
    <n v="0.05"/>
    <x v="22"/>
    <n v="359.49"/>
    <n v="42.045999999999999"/>
    <d v="2026-03-13T10:46:39"/>
  </r>
  <r>
    <s v="CUST028"/>
    <s v="Lisa Davis"/>
    <x v="4"/>
    <x v="3"/>
    <n v="1410.06"/>
    <n v="11"/>
    <n v="0.05"/>
    <x v="23"/>
    <n v="468.84"/>
    <n v="70.503"/>
    <d v="2026-03-13T10:46:39"/>
  </r>
  <r>
    <s v="CUST008"/>
    <s v="Mary Wilson"/>
    <x v="4"/>
    <x v="3"/>
    <n v="773.09"/>
    <n v="13"/>
    <n v="0.15"/>
    <x v="23"/>
    <n v="229.99"/>
    <n v="115.9635"/>
    <d v="2026-03-13T10:46:39"/>
  </r>
  <r>
    <s v="CUST016"/>
    <s v="Emma Wilson"/>
    <x v="1"/>
    <x v="0"/>
    <n v="580.42999999999995"/>
    <n v="19"/>
    <n v="0.15"/>
    <x v="24"/>
    <n v="197.35"/>
    <n v="87.064499999999995"/>
    <d v="2026-03-13T10:46:39"/>
  </r>
  <r>
    <s v="CUST005"/>
    <s v="David Smith"/>
    <x v="2"/>
    <x v="0"/>
    <n v="1151.21"/>
    <n v="15"/>
    <n v="0.1"/>
    <x v="25"/>
    <n v="414.44"/>
    <n v="115.12100000000001"/>
    <d v="2026-03-13T10:46:39"/>
  </r>
  <r>
    <s v="CUST028"/>
    <s v="James Wilson"/>
    <x v="4"/>
    <x v="4"/>
    <n v="1025.98"/>
    <n v="5"/>
    <n v="0.2"/>
    <x v="26"/>
    <n v="369.35"/>
    <n v="205.19600000000003"/>
    <d v="2026-03-13T10:46:39"/>
  </r>
  <r>
    <s v="CUST023"/>
    <s v="David Davis"/>
    <x v="1"/>
    <x v="4"/>
    <n v="556.41999999999996"/>
    <n v="11"/>
    <n v="0.15"/>
    <x v="26"/>
    <n v="212.83"/>
    <n v="83.462999999999994"/>
    <d v="2026-03-13T10:46:39"/>
  </r>
  <r>
    <s v="CUST021"/>
    <s v="James Wilson"/>
    <x v="4"/>
    <x v="0"/>
    <n v="840.85"/>
    <n v="19"/>
    <n v="0.1"/>
    <x v="27"/>
    <n v="302.70999999999998"/>
    <n v="84.085000000000008"/>
    <d v="2026-03-13T10:46:39"/>
  </r>
  <r>
    <s v="CUST026"/>
    <s v="Emma Wilson"/>
    <x v="3"/>
    <x v="3"/>
    <n v="1227.25"/>
    <n v="12"/>
    <n v="0.15"/>
    <x v="27"/>
    <n v="365.11"/>
    <n v="184.08750000000001"/>
    <d v="2026-03-13T10:46:39"/>
  </r>
  <r>
    <s v="CUST017"/>
    <s v="Linda Davis"/>
    <x v="4"/>
    <x v="2"/>
    <n v="856.7"/>
    <n v="2"/>
    <n v="0"/>
    <x v="28"/>
    <n v="214.18"/>
    <n v="0"/>
    <d v="2026-03-13T10:46:39"/>
  </r>
  <r>
    <s v="CUST025"/>
    <s v="David Davis"/>
    <x v="4"/>
    <x v="4"/>
    <n v="1225.42"/>
    <n v="8"/>
    <n v="0.15"/>
    <x v="28"/>
    <n v="468.72"/>
    <n v="183.81300000000002"/>
    <d v="2026-03-13T10:46:39"/>
  </r>
  <r>
    <s v="CUST011"/>
    <s v="Mary Davis"/>
    <x v="3"/>
    <x v="4"/>
    <n v="1001.57"/>
    <n v="12"/>
    <n v="0"/>
    <x v="29"/>
    <n v="450.71"/>
    <n v="0"/>
    <d v="2026-03-13T10:46:39"/>
  </r>
  <r>
    <s v="CUST021"/>
    <s v="Michael Anderson"/>
    <x v="1"/>
    <x v="3"/>
    <n v="1186.8499999999999"/>
    <n v="19"/>
    <n v="0.2"/>
    <x v="30"/>
    <n v="332.32"/>
    <n v="237.37"/>
    <d v="2026-03-13T10:46:39"/>
  </r>
  <r>
    <s v="CUST008"/>
    <s v="John Brown"/>
    <x v="2"/>
    <x v="2"/>
    <n v="775.45"/>
    <n v="6"/>
    <n v="0.1"/>
    <x v="31"/>
    <n v="174.48"/>
    <n v="77.545000000000016"/>
    <d v="2026-03-13T10:46:39"/>
  </r>
  <r>
    <s v="CUST007"/>
    <s v="Linda Jackson"/>
    <x v="2"/>
    <x v="2"/>
    <n v="1021.47"/>
    <n v="6"/>
    <n v="0.05"/>
    <x v="32"/>
    <n v="242.6"/>
    <n v="51.073500000000003"/>
    <d v="2026-03-13T10:46:39"/>
  </r>
  <r>
    <s v="CUST015"/>
    <s v="James Wilson"/>
    <x v="2"/>
    <x v="1"/>
    <n v="1226.6199999999999"/>
    <n v="7"/>
    <n v="0.1"/>
    <x v="33"/>
    <n v="551.98"/>
    <n v="122.66199999999999"/>
    <d v="2026-03-13T10:46:39"/>
  </r>
  <r>
    <s v="CUST030"/>
    <s v="Sarah Davis"/>
    <x v="2"/>
    <x v="3"/>
    <n v="1086.93"/>
    <n v="2"/>
    <n v="0"/>
    <x v="34"/>
    <n v="380.43"/>
    <n v="0"/>
    <d v="2026-03-13T10:46:39"/>
  </r>
  <r>
    <s v="CUST002"/>
    <s v="Lisa Davis"/>
    <x v="0"/>
    <x v="0"/>
    <n v="942.9"/>
    <n v="18"/>
    <n v="0.1"/>
    <x v="35"/>
    <n v="339.44"/>
    <n v="94.29"/>
    <d v="2026-03-13T10:46:39"/>
  </r>
  <r>
    <s v="CUST009"/>
    <s v="Emma Davis"/>
    <x v="3"/>
    <x v="2"/>
    <n v="818.8"/>
    <n v="15"/>
    <n v="0.15"/>
    <x v="36"/>
    <n v="173.99"/>
    <n v="122.82"/>
    <d v="2026-03-13T10:46:39"/>
  </r>
  <r>
    <s v="CUST005"/>
    <s v="Robert Anderson"/>
    <x v="2"/>
    <x v="3"/>
    <n v="919.04"/>
    <n v="10"/>
    <n v="0.2"/>
    <x v="36"/>
    <n v="257.33"/>
    <n v="183.80799999999999"/>
    <d v="2026-03-13T10:46:39"/>
  </r>
  <r>
    <s v="CUST030"/>
    <s v="Emma Taylor"/>
    <x v="4"/>
    <x v="0"/>
    <n v="973.26"/>
    <n v="11"/>
    <n v="0"/>
    <x v="37"/>
    <n v="389.3"/>
    <n v="0"/>
    <d v="2026-03-13T10:46:39"/>
  </r>
  <r>
    <s v="CUST029"/>
    <s v="Sarah Davis"/>
    <x v="3"/>
    <x v="2"/>
    <n v="741.61"/>
    <n v="1"/>
    <n v="0.2"/>
    <x v="38"/>
    <n v="148.32"/>
    <n v="148.322"/>
    <d v="2026-03-13T10:46:39"/>
  </r>
  <r>
    <s v="CUST003"/>
    <s v="Emma Davis"/>
    <x v="3"/>
    <x v="0"/>
    <n v="1248.82"/>
    <n v="2"/>
    <n v="0.1"/>
    <x v="39"/>
    <n v="449.58"/>
    <n v="124.88200000000001"/>
    <d v="2026-03-13T10:46:39"/>
  </r>
  <r>
    <s v="CUST012"/>
    <s v="Mary Wilson"/>
    <x v="0"/>
    <x v="1"/>
    <n v="1360.36"/>
    <n v="17"/>
    <n v="0"/>
    <x v="39"/>
    <n v="680.18"/>
    <n v="0"/>
    <d v="2026-03-13T10:46:39"/>
  </r>
  <r>
    <s v="CUST021"/>
    <s v="Mary Davis"/>
    <x v="1"/>
    <x v="0"/>
    <n v="1383.3"/>
    <n v="8"/>
    <n v="0.1"/>
    <x v="40"/>
    <n v="497.99"/>
    <n v="138.33000000000001"/>
    <d v="2026-03-13T10:46:39"/>
  </r>
  <r>
    <s v="CUST010"/>
    <s v="David Brown"/>
    <x v="4"/>
    <x v="4"/>
    <n v="488.99"/>
    <n v="9"/>
    <n v="0"/>
    <x v="41"/>
    <n v="220.05"/>
    <n v="0"/>
    <d v="2026-03-13T10:46:39"/>
  </r>
  <r>
    <s v="CUST026"/>
    <s v="Mary Davis"/>
    <x v="1"/>
    <x v="3"/>
    <n v="933.71"/>
    <n v="17"/>
    <n v="0.1"/>
    <x v="42"/>
    <n v="294.12"/>
    <n v="93.371000000000009"/>
    <d v="2026-03-13T10:46:39"/>
  </r>
  <r>
    <s v="CUST003"/>
    <s v="James Davis"/>
    <x v="0"/>
    <x v="2"/>
    <n v="1005.53"/>
    <n v="17"/>
    <n v="0.2"/>
    <x v="42"/>
    <n v="201.11"/>
    <n v="201.10599999999999"/>
    <d v="2026-03-13T10:46:39"/>
  </r>
  <r>
    <s v="CUST029"/>
    <s v="Emma Wilson"/>
    <x v="2"/>
    <x v="2"/>
    <n v="1100.0999999999999"/>
    <n v="5"/>
    <n v="0.05"/>
    <x v="43"/>
    <n v="261.27"/>
    <n v="55.004999999999995"/>
    <d v="2026-03-13T10:46:39"/>
  </r>
  <r>
    <s v="CUST003"/>
    <s v="James Wilson"/>
    <x v="3"/>
    <x v="3"/>
    <n v="1034.7"/>
    <n v="15"/>
    <n v="0.15"/>
    <x v="44"/>
    <n v="307.82"/>
    <n v="155.20500000000001"/>
    <d v="2026-03-13T10:46:39"/>
  </r>
  <r>
    <s v="CUST002"/>
    <s v="Mary Davis"/>
    <x v="2"/>
    <x v="0"/>
    <n v="876.44"/>
    <n v="12"/>
    <n v="0.05"/>
    <x v="45"/>
    <n v="333.05"/>
    <n v="43.822000000000003"/>
    <d v="2026-03-13T10:46:39"/>
  </r>
  <r>
    <s v="CUST020"/>
    <s v="David Brown"/>
    <x v="0"/>
    <x v="3"/>
    <n v="1371.34"/>
    <n v="5"/>
    <n v="0.05"/>
    <x v="45"/>
    <n v="455.97"/>
    <n v="68.566999999999993"/>
    <d v="2026-03-13T10:46:39"/>
  </r>
  <r>
    <s v="CUST021"/>
    <s v="Mary Jackson"/>
    <x v="3"/>
    <x v="2"/>
    <n v="1020.26"/>
    <n v="11"/>
    <n v="0.05"/>
    <x v="46"/>
    <n v="242.31"/>
    <n v="51.013000000000005"/>
    <d v="2026-03-13T10:46:39"/>
  </r>
  <r>
    <s v="CUST008"/>
    <s v="James Davis"/>
    <x v="4"/>
    <x v="4"/>
    <n v="804.81"/>
    <n v="1"/>
    <n v="0.05"/>
    <x v="47"/>
    <n v="344.06"/>
    <n v="40.240499999999997"/>
    <d v="2026-03-13T10:46:39"/>
  </r>
  <r>
    <s v="CUST030"/>
    <s v="David Brown"/>
    <x v="4"/>
    <x v="2"/>
    <n v="608.66"/>
    <n v="1"/>
    <n v="0.05"/>
    <x v="48"/>
    <n v="144.56"/>
    <n v="30.433"/>
    <d v="2026-03-13T10:46:39"/>
  </r>
  <r>
    <s v="CUST020"/>
    <s v="Linda Moore"/>
    <x v="2"/>
    <x v="4"/>
    <n v="981.2"/>
    <n v="19"/>
    <n v="0"/>
    <x v="49"/>
    <n v="441.54"/>
    <n v="0"/>
    <d v="2026-03-13T10:46:39"/>
  </r>
  <r>
    <s v="CUST024"/>
    <s v="David Brown"/>
    <x v="1"/>
    <x v="2"/>
    <n v="539.77"/>
    <n v="10"/>
    <n v="0.15"/>
    <x v="50"/>
    <n v="114.7"/>
    <n v="80.965499999999992"/>
    <d v="2026-03-13T10:46:39"/>
  </r>
  <r>
    <s v="CUST012"/>
    <s v="David Anderson"/>
    <x v="2"/>
    <x v="0"/>
    <n v="804.45"/>
    <n v="5"/>
    <n v="0.2"/>
    <x v="50"/>
    <n v="257.42"/>
    <n v="160.89000000000001"/>
    <d v="2026-03-13T10:46:39"/>
  </r>
  <r>
    <s v="CUST024"/>
    <s v="Emma Davis"/>
    <x v="0"/>
    <x v="2"/>
    <n v="1526.6"/>
    <n v="13"/>
    <n v="0.2"/>
    <x v="51"/>
    <n v="305.32"/>
    <n v="305.32"/>
    <d v="2026-03-13T10:46:39"/>
  </r>
  <r>
    <s v="CUST012"/>
    <s v="Linda Wilson"/>
    <x v="0"/>
    <x v="2"/>
    <n v="1215.26"/>
    <n v="5"/>
    <n v="0.15"/>
    <x v="52"/>
    <n v="258.24"/>
    <n v="182.28899999999999"/>
    <d v="2026-03-13T10:46:39"/>
  </r>
  <r>
    <s v="CUST005"/>
    <s v="Linda Taylor"/>
    <x v="4"/>
    <x v="3"/>
    <n v="1261.3399999999999"/>
    <n v="3"/>
    <n v="0"/>
    <x v="53"/>
    <n v="441.47"/>
    <n v="0"/>
    <d v="2026-03-13T10:46:39"/>
  </r>
  <r>
    <s v="CUST004"/>
    <s v="Lisa Thomas"/>
    <x v="3"/>
    <x v="3"/>
    <n v="518.07000000000005"/>
    <n v="7"/>
    <n v="0.05"/>
    <x v="54"/>
    <n v="172.26"/>
    <n v="25.903500000000005"/>
    <d v="2026-03-13T10:46:39"/>
  </r>
  <r>
    <s v="CUST026"/>
    <s v="Linda Wilson"/>
    <x v="0"/>
    <x v="4"/>
    <n v="1111.3399999999999"/>
    <n v="1"/>
    <n v="0"/>
    <x v="55"/>
    <n v="500.1"/>
    <n v="0"/>
    <d v="2026-03-13T10:46:39"/>
  </r>
  <r>
    <s v="CUST030"/>
    <s v="Mary Davis"/>
    <x v="1"/>
    <x v="1"/>
    <n v="1291.47"/>
    <n v="18"/>
    <n v="0.1"/>
    <x v="56"/>
    <n v="581.16"/>
    <n v="129.14700000000002"/>
    <d v="2026-03-13T10:46:39"/>
  </r>
  <r>
    <s v="CUST007"/>
    <s v="David Brown"/>
    <x v="3"/>
    <x v="0"/>
    <n v="679.71"/>
    <n v="19"/>
    <n v="0"/>
    <x v="57"/>
    <n v="271.88"/>
    <n v="0"/>
    <d v="2026-03-13T10:46:39"/>
  </r>
  <r>
    <s v="CUST020"/>
    <s v="Linda Jackson"/>
    <x v="1"/>
    <x v="3"/>
    <n v="1143.69"/>
    <n v="17"/>
    <n v="0"/>
    <x v="57"/>
    <n v="400.29"/>
    <n v="0"/>
    <d v="2026-03-13T10:46:39"/>
  </r>
  <r>
    <s v="CUST028"/>
    <s v="Linda Brown"/>
    <x v="4"/>
    <x v="2"/>
    <n v="790.08"/>
    <n v="7"/>
    <n v="0.1"/>
    <x v="58"/>
    <n v="177.77"/>
    <n v="79.00800000000001"/>
    <d v="2026-03-13T10:46:39"/>
  </r>
  <r>
    <s v="CUST005"/>
    <s v="Lisa Davis"/>
    <x v="4"/>
    <x v="0"/>
    <n v="1070.68"/>
    <n v="7"/>
    <n v="0.05"/>
    <x v="58"/>
    <n v="406.86"/>
    <n v="53.534000000000006"/>
    <d v="2026-03-13T10:46:39"/>
  </r>
  <r>
    <s v="CUST015"/>
    <s v="David Thomas"/>
    <x v="0"/>
    <x v="1"/>
    <n v="1168.8900000000001"/>
    <n v="4"/>
    <n v="0.1"/>
    <x v="59"/>
    <n v="526"/>
    <n v="116.88900000000001"/>
    <d v="2026-03-13T10:46:39"/>
  </r>
  <r>
    <s v="CUST003"/>
    <s v="James Davis"/>
    <x v="2"/>
    <x v="2"/>
    <n v="1335.87"/>
    <n v="17"/>
    <n v="0"/>
    <x v="59"/>
    <n v="333.97"/>
    <n v="0"/>
    <d v="2026-03-13T10:46:39"/>
  </r>
  <r>
    <s v="CUST023"/>
    <s v="David Brown"/>
    <x v="1"/>
    <x v="3"/>
    <n v="873.7"/>
    <n v="9"/>
    <n v="0"/>
    <x v="60"/>
    <n v="305.8"/>
    <n v="0"/>
    <d v="2026-03-13T10:46:39"/>
  </r>
  <r>
    <s v="CUST004"/>
    <s v="Sarah Davis"/>
    <x v="0"/>
    <x v="4"/>
    <n v="1443.98"/>
    <n v="19"/>
    <n v="0"/>
    <x v="61"/>
    <n v="649.79"/>
    <n v="0"/>
    <d v="2026-03-13T10:46:39"/>
  </r>
  <r>
    <s v="CUST023"/>
    <s v="James Wilson"/>
    <x v="1"/>
    <x v="4"/>
    <n v="1154.33"/>
    <n v="11"/>
    <n v="0.15"/>
    <x v="62"/>
    <n v="441.53"/>
    <n v="173.14949999999999"/>
    <d v="2026-03-13T10:46:39"/>
  </r>
  <r>
    <s v="CUST022"/>
    <s v="Linda Brown"/>
    <x v="2"/>
    <x v="0"/>
    <n v="1264.49"/>
    <n v="16"/>
    <n v="0.05"/>
    <x v="62"/>
    <n v="480.51"/>
    <n v="63.224500000000006"/>
    <d v="2026-03-13T10:46:39"/>
  </r>
  <r>
    <s v="CUST007"/>
    <s v="Emma Taylor"/>
    <x v="0"/>
    <x v="3"/>
    <n v="1101.55"/>
    <n v="4"/>
    <n v="0.1"/>
    <x v="63"/>
    <n v="346.99"/>
    <n v="110.155"/>
    <d v="2026-03-13T10:46:39"/>
  </r>
  <r>
    <s v="CUST013"/>
    <s v="Robert Anderson"/>
    <x v="2"/>
    <x v="3"/>
    <n v="727.73"/>
    <n v="1"/>
    <n v="0.1"/>
    <x v="64"/>
    <n v="229.23"/>
    <n v="72.77300000000001"/>
    <d v="2026-03-13T10:46:39"/>
  </r>
  <r>
    <s v="CUST027"/>
    <s v="Emma Davis"/>
    <x v="1"/>
    <x v="4"/>
    <n v="875.41"/>
    <n v="13"/>
    <n v="0.15"/>
    <x v="64"/>
    <n v="334.84"/>
    <n v="131.3115"/>
    <d v="2026-03-13T10:46:39"/>
  </r>
  <r>
    <s v="CUST003"/>
    <s v="James Wilson"/>
    <x v="0"/>
    <x v="2"/>
    <n v="1158.94"/>
    <n v="19"/>
    <n v="0.2"/>
    <x v="65"/>
    <n v="231.79"/>
    <n v="231.78800000000001"/>
    <d v="2026-03-13T10:46:39"/>
  </r>
  <r>
    <s v="CUST018"/>
    <s v="Mary Jackson"/>
    <x v="2"/>
    <x v="0"/>
    <n v="966.3"/>
    <n v="2"/>
    <n v="0.15"/>
    <x v="66"/>
    <n v="328.54"/>
    <n v="144.94499999999999"/>
    <d v="2026-03-13T10:46:39"/>
  </r>
  <r>
    <s v="CUST020"/>
    <s v="James Taylor"/>
    <x v="2"/>
    <x v="0"/>
    <n v="917.48"/>
    <n v="6"/>
    <n v="0"/>
    <x v="67"/>
    <n v="366.99"/>
    <n v="0"/>
    <d v="2026-03-13T10:46:39"/>
  </r>
  <r>
    <s v="CUST029"/>
    <s v="Emma Wilson"/>
    <x v="0"/>
    <x v="3"/>
    <n v="1172.97"/>
    <n v="7"/>
    <n v="0.15"/>
    <x v="68"/>
    <n v="348.96"/>
    <n v="175.94550000000001"/>
    <d v="2026-03-13T10:46:39"/>
  </r>
  <r>
    <s v="CUST021"/>
    <s v="James Wilson"/>
    <x v="3"/>
    <x v="1"/>
    <n v="1205.82"/>
    <n v="11"/>
    <n v="0.1"/>
    <x v="68"/>
    <n v="542.62"/>
    <n v="120.58199999999999"/>
    <d v="2026-03-13T10:46:39"/>
  </r>
  <r>
    <s v="CUST017"/>
    <s v="Sarah Davis"/>
    <x v="0"/>
    <x v="4"/>
    <n v="826.93"/>
    <n v="10"/>
    <n v="0.2"/>
    <x v="69"/>
    <n v="297.69"/>
    <n v="165.386"/>
    <d v="2026-03-13T10:46:39"/>
  </r>
  <r>
    <s v="CUST003"/>
    <s v="James Wilson"/>
    <x v="4"/>
    <x v="1"/>
    <n v="902.19"/>
    <n v="12"/>
    <n v="0"/>
    <x v="69"/>
    <n v="451.1"/>
    <n v="0"/>
    <d v="2026-03-13T10:46:39"/>
  </r>
  <r>
    <s v="CUST027"/>
    <s v="Emma Davis"/>
    <x v="3"/>
    <x v="0"/>
    <n v="585.97"/>
    <n v="17"/>
    <n v="0.1"/>
    <x v="70"/>
    <n v="210.95"/>
    <n v="58.597000000000008"/>
    <d v="2026-03-13T10:46:39"/>
  </r>
  <r>
    <s v="CUST016"/>
    <s v="Michael Anderson"/>
    <x v="3"/>
    <x v="1"/>
    <n v="990.19"/>
    <n v="8"/>
    <n v="0.1"/>
    <x v="70"/>
    <n v="445.59"/>
    <n v="99.019000000000005"/>
    <d v="2026-03-13T10:46:39"/>
  </r>
  <r>
    <s v="CUST008"/>
    <s v="David Davis"/>
    <x v="4"/>
    <x v="2"/>
    <n v="1014.09"/>
    <n v="13"/>
    <n v="0.2"/>
    <x v="71"/>
    <n v="202.82"/>
    <n v="202.81800000000001"/>
    <d v="2026-03-13T10:46:39"/>
  </r>
  <r>
    <s v="CUST012"/>
    <s v="Lisa Davis"/>
    <x v="3"/>
    <x v="2"/>
    <n v="925.29"/>
    <n v="17"/>
    <n v="0"/>
    <x v="72"/>
    <n v="231.32"/>
    <n v="0"/>
    <d v="2026-03-13T10:46:39"/>
  </r>
  <r>
    <s v="CUST025"/>
    <s v="Mary Jackson"/>
    <x v="1"/>
    <x v="3"/>
    <n v="1286.54"/>
    <n v="8"/>
    <n v="0"/>
    <x v="73"/>
    <n v="450.29"/>
    <n v="0"/>
    <d v="2026-03-13T10:46:39"/>
  </r>
  <r>
    <s v="CUST014"/>
    <s v="Sarah Davis"/>
    <x v="2"/>
    <x v="0"/>
    <n v="961.62"/>
    <n v="8"/>
    <n v="0.2"/>
    <x v="74"/>
    <n v="307.72000000000003"/>
    <n v="192.32400000000001"/>
    <d v="2026-03-13T10:46:39"/>
  </r>
  <r>
    <s v="CUST008"/>
    <s v="James Wilson"/>
    <x v="1"/>
    <x v="0"/>
    <n v="1081.1400000000001"/>
    <n v="19"/>
    <n v="0.15"/>
    <x v="74"/>
    <n v="367.59"/>
    <n v="162.17100000000002"/>
    <d v="2026-03-13T10:46:39"/>
  </r>
  <r>
    <s v="CUST015"/>
    <s v="James Wilson"/>
    <x v="0"/>
    <x v="1"/>
    <n v="1923.66"/>
    <n v="9"/>
    <n v="0.2"/>
    <x v="75"/>
    <n v="769.46"/>
    <n v="384.73200000000003"/>
    <d v="2026-03-13T10:46:39"/>
  </r>
  <r>
    <s v="CUST025"/>
    <s v="Emma Taylor"/>
    <x v="4"/>
    <x v="1"/>
    <n v="728.71"/>
    <n v="14"/>
    <n v="0.1"/>
    <x v="76"/>
    <n v="327.92"/>
    <n v="72.871000000000009"/>
    <d v="2026-03-13T10:46:39"/>
  </r>
  <r>
    <s v="CUST019"/>
    <s v="Linda Jackson"/>
    <x v="4"/>
    <x v="1"/>
    <n v="1301.8900000000001"/>
    <n v="7"/>
    <n v="0.15"/>
    <x v="76"/>
    <n v="553.29999999999995"/>
    <n v="195.2835"/>
    <d v="2026-03-13T10:46:39"/>
  </r>
  <r>
    <s v="CUST024"/>
    <s v="Emma Taylor"/>
    <x v="1"/>
    <x v="0"/>
    <n v="980.18"/>
    <n v="16"/>
    <n v="0.1"/>
    <x v="77"/>
    <n v="352.86"/>
    <n v="98.018000000000001"/>
    <d v="2026-03-13T10:46:39"/>
  </r>
  <r>
    <s v="CUST027"/>
    <s v="James Wilson"/>
    <x v="0"/>
    <x v="1"/>
    <n v="697.57"/>
    <n v="17"/>
    <n v="0.1"/>
    <x v="78"/>
    <n v="313.91000000000003"/>
    <n v="69.757000000000005"/>
    <d v="2026-03-13T10:46:39"/>
  </r>
  <r>
    <s v="CUST006"/>
    <s v="David Anderson"/>
    <x v="0"/>
    <x v="3"/>
    <n v="1193.6099999999999"/>
    <n v="1"/>
    <n v="0.15"/>
    <x v="78"/>
    <n v="355.1"/>
    <n v="179.04149999999998"/>
    <d v="2026-03-13T10:46:39"/>
  </r>
  <r>
    <s v="CUST009"/>
    <s v="Emma Davis"/>
    <x v="2"/>
    <x v="2"/>
    <n v="771.02"/>
    <n v="1"/>
    <n v="0"/>
    <x v="79"/>
    <n v="192.76"/>
    <n v="0"/>
    <d v="2026-03-13T10:46:39"/>
  </r>
  <r>
    <s v="CUST003"/>
    <s v="Linda Moore"/>
    <x v="3"/>
    <x v="1"/>
    <n v="661.09"/>
    <n v="1"/>
    <n v="0.2"/>
    <x v="80"/>
    <n v="264.44"/>
    <n v="132.21800000000002"/>
    <d v="2026-03-13T10:46:39"/>
  </r>
  <r>
    <s v="CUST012"/>
    <s v="David Brown"/>
    <x v="0"/>
    <x v="2"/>
    <n v="688.83"/>
    <n v="15"/>
    <n v="0"/>
    <x v="81"/>
    <n v="172.21"/>
    <n v="0"/>
    <d v="2026-03-13T10:46:39"/>
  </r>
  <r>
    <s v="CUST013"/>
    <s v="Linda Wilson"/>
    <x v="4"/>
    <x v="0"/>
    <n v="1249.0999999999999"/>
    <n v="4"/>
    <n v="0.05"/>
    <x v="82"/>
    <n v="474.66"/>
    <n v="62.454999999999998"/>
    <d v="2026-03-13T10:46:39"/>
  </r>
  <r>
    <s v="CUST008"/>
    <s v="James Wilson"/>
    <x v="1"/>
    <x v="4"/>
    <n v="1014.22"/>
    <n v="14"/>
    <n v="0.05"/>
    <x v="83"/>
    <n v="433.58"/>
    <n v="50.711000000000006"/>
    <d v="2026-03-13T10:46:39"/>
  </r>
  <r>
    <s v="CUST025"/>
    <s v="Lisa Davis"/>
    <x v="1"/>
    <x v="0"/>
    <n v="1010.58"/>
    <n v="2"/>
    <n v="0.15"/>
    <x v="84"/>
    <n v="343.6"/>
    <n v="151.58699999999999"/>
    <d v="2026-03-13T10:46:39"/>
  </r>
  <r>
    <s v="CUST026"/>
    <s v="Mary Wilson"/>
    <x v="3"/>
    <x v="3"/>
    <n v="957.29"/>
    <n v="4"/>
    <n v="0.05"/>
    <x v="84"/>
    <n v="318.3"/>
    <n v="47.8645"/>
    <d v="2026-03-13T10:46:39"/>
  </r>
  <r>
    <s v="CUST001"/>
    <s v="Lisa Thomas"/>
    <x v="3"/>
    <x v="3"/>
    <n v="1077.92"/>
    <n v="3"/>
    <n v="0.05"/>
    <x v="85"/>
    <n v="358.41"/>
    <n v="53.896000000000008"/>
    <d v="2026-03-13T10:46:39"/>
  </r>
  <r>
    <s v="CUST028"/>
    <s v="Linda Brown"/>
    <x v="2"/>
    <x v="1"/>
    <n v="1163.01"/>
    <n v="5"/>
    <n v="0"/>
    <x v="86"/>
    <n v="581.5"/>
    <n v="0"/>
    <d v="2026-03-13T10:46:39"/>
  </r>
  <r>
    <s v="CUST025"/>
    <s v="Lisa Thomas"/>
    <x v="1"/>
    <x v="4"/>
    <n v="1014.56"/>
    <n v="10"/>
    <n v="0.1"/>
    <x v="87"/>
    <n v="410.9"/>
    <n v="101.456"/>
    <d v="2026-03-13T10:46:39"/>
  </r>
  <r>
    <s v="CUST019"/>
    <s v="James Taylor"/>
    <x v="2"/>
    <x v="2"/>
    <n v="718.04"/>
    <n v="14"/>
    <n v="0"/>
    <x v="88"/>
    <n v="179.51"/>
    <n v="0"/>
    <d v="2026-03-13T10:46:39"/>
  </r>
  <r>
    <s v="CUST004"/>
    <s v="James Taylor"/>
    <x v="4"/>
    <x v="1"/>
    <n v="1277.8499999999999"/>
    <n v="18"/>
    <n v="0.2"/>
    <x v="88"/>
    <n v="511.14"/>
    <n v="255.57"/>
    <d v="2026-03-13T10:46:39"/>
  </r>
  <r>
    <s v="CUST024"/>
    <s v="James Wilson"/>
    <x v="3"/>
    <x v="2"/>
    <n v="706.73"/>
    <n v="1"/>
    <n v="0.15"/>
    <x v="88"/>
    <n v="150.18"/>
    <n v="106.0095"/>
    <d v="2026-03-13T10:46:39"/>
  </r>
  <r>
    <s v="CUST002"/>
    <s v="Linda Brown"/>
    <x v="1"/>
    <x v="2"/>
    <n v="1410.59"/>
    <n v="15"/>
    <n v="0"/>
    <x v="89"/>
    <n v="352.65"/>
    <n v="0"/>
    <d v="2026-03-13T10:46:39"/>
  </r>
  <r>
    <s v="CUST009"/>
    <s v="Emma Wilson"/>
    <x v="2"/>
    <x v="3"/>
    <n v="1350.33"/>
    <n v="10"/>
    <n v="0"/>
    <x v="89"/>
    <n v="472.62"/>
    <n v="0"/>
    <d v="2026-03-13T10:46:39"/>
  </r>
  <r>
    <s v="CUST029"/>
    <s v="Lisa Thomas"/>
    <x v="1"/>
    <x v="2"/>
    <n v="919.18"/>
    <n v="4"/>
    <n v="0.15"/>
    <x v="89"/>
    <n v="195.33"/>
    <n v="137.87699999999998"/>
    <d v="2026-03-13T10:46:39"/>
  </r>
  <r>
    <s v="CUST027"/>
    <s v="James Wilson"/>
    <x v="0"/>
    <x v="2"/>
    <n v="258.51"/>
    <n v="19"/>
    <n v="0"/>
    <x v="90"/>
    <n v="64.63"/>
    <n v="0"/>
    <d v="2026-03-13T10:46:39"/>
  </r>
  <r>
    <s v="CUST011"/>
    <s v="Emma Wilson"/>
    <x v="1"/>
    <x v="0"/>
    <n v="1213.48"/>
    <n v="5"/>
    <n v="0.05"/>
    <x v="90"/>
    <n v="461.12"/>
    <n v="60.674000000000007"/>
    <d v="2026-03-13T10:46:39"/>
  </r>
  <r>
    <s v="CUST021"/>
    <s v="Emma Davis"/>
    <x v="4"/>
    <x v="0"/>
    <n v="1150.28"/>
    <n v="8"/>
    <n v="0.05"/>
    <x v="91"/>
    <n v="437.11"/>
    <n v="57.514000000000003"/>
    <d v="2026-03-13T10:46:39"/>
  </r>
  <r>
    <s v="CUST014"/>
    <s v="David Anderson"/>
    <x v="2"/>
    <x v="3"/>
    <n v="853.86"/>
    <n v="8"/>
    <n v="0.1"/>
    <x v="91"/>
    <n v="268.97000000000003"/>
    <n v="85.38600000000001"/>
    <d v="2026-03-13T10:46:39"/>
  </r>
  <r>
    <s v="CUST018"/>
    <s v="Lisa Thomas"/>
    <x v="2"/>
    <x v="2"/>
    <n v="1061.04"/>
    <n v="1"/>
    <n v="0"/>
    <x v="92"/>
    <n v="265.26"/>
    <n v="0"/>
    <d v="2026-03-13T10:46:39"/>
  </r>
  <r>
    <s v="CUST001"/>
    <s v="Sarah Anderson"/>
    <x v="0"/>
    <x v="2"/>
    <n v="894.55"/>
    <n v="19"/>
    <n v="0.2"/>
    <x v="93"/>
    <n v="178.91"/>
    <n v="178.91"/>
    <d v="2026-03-13T10:46:39"/>
  </r>
  <r>
    <s v="CUST007"/>
    <s v="Emma Davis"/>
    <x v="3"/>
    <x v="4"/>
    <n v="833.91"/>
    <n v="3"/>
    <n v="0.05"/>
    <x v="94"/>
    <n v="356.5"/>
    <n v="41.695500000000003"/>
    <d v="2026-03-13T10:46:39"/>
  </r>
  <r>
    <s v="CUST015"/>
    <s v="David Anderson"/>
    <x v="0"/>
    <x v="3"/>
    <n v="820.19"/>
    <n v="4"/>
    <n v="0.2"/>
    <x v="95"/>
    <n v="229.65"/>
    <n v="164.03800000000001"/>
    <d v="2026-03-13T10:46:39"/>
  </r>
  <r>
    <s v="CUST015"/>
    <s v="Emma Davis"/>
    <x v="4"/>
    <x v="2"/>
    <n v="511.74"/>
    <n v="8"/>
    <n v="0.05"/>
    <x v="96"/>
    <n v="121.54"/>
    <n v="25.587000000000003"/>
    <d v="2026-03-13T10:46:39"/>
  </r>
  <r>
    <s v="CUST002"/>
    <s v="Emma Wilson"/>
    <x v="2"/>
    <x v="3"/>
    <n v="806.03"/>
    <n v="19"/>
    <n v="0.05"/>
    <x v="97"/>
    <n v="268"/>
    <n v="40.301500000000004"/>
    <d v="2026-03-13T10:46:39"/>
  </r>
  <r>
    <s v="CUST001"/>
    <s v="Michael Anderson"/>
    <x v="4"/>
    <x v="3"/>
    <n v="1432.47"/>
    <n v="16"/>
    <n v="0.15"/>
    <x v="98"/>
    <n v="426.16"/>
    <n v="214.87049999999999"/>
    <d v="2026-03-13T10:46:39"/>
  </r>
  <r>
    <s v="CUST027"/>
    <s v="Linda Wilson"/>
    <x v="4"/>
    <x v="2"/>
    <n v="1488.58"/>
    <n v="10"/>
    <n v="0.15"/>
    <x v="98"/>
    <n v="316.32"/>
    <n v="223.28699999999998"/>
    <d v="2026-03-13T10:46:39"/>
  </r>
  <r>
    <s v="CUST026"/>
    <s v="Emma Taylor"/>
    <x v="1"/>
    <x v="0"/>
    <n v="1231.26"/>
    <n v="9"/>
    <n v="0"/>
    <x v="99"/>
    <n v="492.5"/>
    <n v="0"/>
    <d v="2026-03-13T10:46:39"/>
  </r>
  <r>
    <s v="CUST026"/>
    <s v="Sarah Anderson"/>
    <x v="0"/>
    <x v="2"/>
    <n v="1161.67"/>
    <n v="19"/>
    <n v="0.2"/>
    <x v="100"/>
    <n v="232.33"/>
    <n v="232.33400000000003"/>
    <d v="2026-03-13T10:46:39"/>
  </r>
  <r>
    <s v="CUST022"/>
    <s v="Lisa Thomas"/>
    <x v="4"/>
    <x v="4"/>
    <n v="388.23"/>
    <n v="16"/>
    <n v="0.05"/>
    <x v="101"/>
    <n v="165.97"/>
    <n v="19.411500000000004"/>
    <d v="2026-03-13T10:46:39"/>
  </r>
  <r>
    <s v="CUST004"/>
    <s v="Mary Davis"/>
    <x v="3"/>
    <x v="1"/>
    <n v="1589.42"/>
    <n v="6"/>
    <n v="0.15"/>
    <x v="102"/>
    <n v="675.5"/>
    <n v="238.41300000000001"/>
    <d v="2026-03-13T10:46:39"/>
  </r>
  <r>
    <s v="CUST001"/>
    <s v="David Anderson"/>
    <x v="3"/>
    <x v="1"/>
    <n v="336.66"/>
    <n v="13"/>
    <n v="0.2"/>
    <x v="102"/>
    <n v="134.66"/>
    <n v="67.332000000000008"/>
    <d v="2026-03-13T10:46:39"/>
  </r>
  <r>
    <s v="CUST022"/>
    <s v="James Wilson"/>
    <x v="0"/>
    <x v="0"/>
    <n v="1353.79"/>
    <n v="14"/>
    <n v="0.1"/>
    <x v="103"/>
    <n v="487.36"/>
    <n v="135.37899999999999"/>
    <d v="2026-03-13T10:46:39"/>
  </r>
  <r>
    <s v="CUST011"/>
    <s v="Linda Moore"/>
    <x v="4"/>
    <x v="1"/>
    <n v="662.61"/>
    <n v="11"/>
    <n v="0.05"/>
    <x v="104"/>
    <n v="314.74"/>
    <n v="33.130500000000005"/>
    <d v="2026-03-13T10:46:39"/>
  </r>
  <r>
    <s v="CUST028"/>
    <s v="Lisa Davis"/>
    <x v="3"/>
    <x v="4"/>
    <n v="309.42"/>
    <n v="1"/>
    <n v="0.2"/>
    <x v="104"/>
    <n v="111.39"/>
    <n v="61.884000000000007"/>
    <d v="2026-03-13T10:46:39"/>
  </r>
  <r>
    <s v="CUST011"/>
    <s v="Linda Wilson"/>
    <x v="3"/>
    <x v="0"/>
    <n v="884.63"/>
    <n v="18"/>
    <n v="0.1"/>
    <x v="105"/>
    <n v="318.47000000000003"/>
    <n v="88.463000000000008"/>
    <d v="2026-03-13T10:46:39"/>
  </r>
  <r>
    <s v="CUST028"/>
    <s v="James Wilson"/>
    <x v="4"/>
    <x v="4"/>
    <n v="745.05"/>
    <n v="10"/>
    <n v="0.1"/>
    <x v="106"/>
    <n v="301.75"/>
    <n v="74.504999999999995"/>
    <d v="2026-03-13T10:46:39"/>
  </r>
  <r>
    <s v="CUST016"/>
    <s v="James Taylor"/>
    <x v="2"/>
    <x v="1"/>
    <n v="870.23"/>
    <n v="5"/>
    <n v="0.05"/>
    <x v="106"/>
    <n v="413.36"/>
    <n v="43.511500000000005"/>
    <d v="2026-03-13T10:46:39"/>
  </r>
  <r>
    <s v="CUST010"/>
    <s v="Linda Wilson"/>
    <x v="0"/>
    <x v="3"/>
    <n v="862.19"/>
    <n v="18"/>
    <n v="0.05"/>
    <x v="107"/>
    <n v="286.68"/>
    <n v="43.109500000000004"/>
    <d v="2026-03-13T10:46:39"/>
  </r>
  <r>
    <s v="CUST013"/>
    <s v="Mary Wilson"/>
    <x v="3"/>
    <x v="1"/>
    <n v="1171.18"/>
    <n v="19"/>
    <n v="0.05"/>
    <x v="108"/>
    <n v="556.30999999999995"/>
    <n v="58.559000000000005"/>
    <d v="2026-03-13T10:46:39"/>
  </r>
  <r>
    <s v="CUST015"/>
    <s v="Robert Anderson"/>
    <x v="2"/>
    <x v="3"/>
    <n v="1054.56"/>
    <n v="11"/>
    <n v="0.1"/>
    <x v="109"/>
    <n v="332.19"/>
    <n v="105.456"/>
    <d v="2026-03-13T10:46:39"/>
  </r>
  <r>
    <s v="CUST015"/>
    <s v="James Wilson"/>
    <x v="3"/>
    <x v="2"/>
    <n v="1681.21"/>
    <n v="5"/>
    <n v="0.2"/>
    <x v="110"/>
    <n v="336.24"/>
    <n v="336.24200000000002"/>
    <d v="2026-03-13T10:46:39"/>
  </r>
  <r>
    <s v="CUST015"/>
    <s v="David Thomas"/>
    <x v="0"/>
    <x v="1"/>
    <n v="379.77"/>
    <n v="9"/>
    <n v="0.05"/>
    <x v="111"/>
    <n v="180.39"/>
    <n v="18.988499999999998"/>
    <d v="2026-03-13T10:46:39"/>
  </r>
  <r>
    <s v="CUST008"/>
    <s v="Lisa Thomas"/>
    <x v="4"/>
    <x v="1"/>
    <n v="1076.33"/>
    <n v="2"/>
    <n v="0.1"/>
    <x v="112"/>
    <n v="484.35"/>
    <n v="107.633"/>
    <d v="2026-03-13T10:46:39"/>
  </r>
  <r>
    <s v="CUST008"/>
    <s v="Mary Davis"/>
    <x v="4"/>
    <x v="4"/>
    <n v="1250.71"/>
    <n v="7"/>
    <n v="0"/>
    <x v="112"/>
    <n v="562.82000000000005"/>
    <n v="0"/>
    <d v="2026-03-13T10:46:39"/>
  </r>
  <r>
    <s v="CUST023"/>
    <s v="James Taylor"/>
    <x v="2"/>
    <x v="1"/>
    <n v="1118.3399999999999"/>
    <n v="6"/>
    <n v="0.2"/>
    <x v="112"/>
    <n v="447.34"/>
    <n v="223.66800000000001"/>
    <d v="2026-03-13T10:46:39"/>
  </r>
  <r>
    <s v="CUST024"/>
    <s v="Linda Taylor"/>
    <x v="3"/>
    <x v="1"/>
    <n v="1622.62"/>
    <n v="12"/>
    <n v="0.2"/>
    <x v="113"/>
    <n v="649.04999999999995"/>
    <n v="324.524"/>
    <d v="2026-03-13T10:46:39"/>
  </r>
  <r>
    <s v="CUST018"/>
    <s v="Lisa Davis"/>
    <x v="3"/>
    <x v="0"/>
    <n v="640.64"/>
    <n v="11"/>
    <n v="0.2"/>
    <x v="114"/>
    <n v="205"/>
    <n v="128.12800000000001"/>
    <d v="2026-03-13T10:46:39"/>
  </r>
  <r>
    <s v="CUST030"/>
    <s v="Sarah Anderson"/>
    <x v="0"/>
    <x v="1"/>
    <n v="585.16"/>
    <n v="17"/>
    <n v="0.1"/>
    <x v="115"/>
    <n v="263.32"/>
    <n v="58.515999999999998"/>
    <d v="2026-03-13T10:46:39"/>
  </r>
  <r>
    <s v="CUST030"/>
    <s v="Mary Davis"/>
    <x v="1"/>
    <x v="1"/>
    <n v="1109.98"/>
    <n v="5"/>
    <n v="0.2"/>
    <x v="116"/>
    <n v="443.99"/>
    <n v="221.99600000000001"/>
    <d v="2026-03-13T10:46:39"/>
  </r>
  <r>
    <s v="CUST015"/>
    <s v="Lisa Thomas"/>
    <x v="1"/>
    <x v="0"/>
    <n v="1098.08"/>
    <n v="9"/>
    <n v="0.1"/>
    <x v="117"/>
    <n v="395.31"/>
    <n v="109.80799999999999"/>
    <d v="2026-03-13T10:46:39"/>
  </r>
  <r>
    <s v="CUST002"/>
    <s v="Lisa Davis"/>
    <x v="0"/>
    <x v="4"/>
    <n v="827.25"/>
    <n v="7"/>
    <n v="0.1"/>
    <x v="118"/>
    <n v="335.04"/>
    <n v="82.725000000000009"/>
    <d v="2026-03-13T10:46:39"/>
  </r>
  <r>
    <s v="CUST024"/>
    <s v="Linda Wilson"/>
    <x v="4"/>
    <x v="1"/>
    <n v="741.88"/>
    <n v="16"/>
    <n v="0.1"/>
    <x v="119"/>
    <n v="333.85"/>
    <n v="74.188000000000002"/>
    <d v="2026-03-13T10:46:39"/>
  </r>
  <r>
    <s v="CUST004"/>
    <s v="James Davis"/>
    <x v="1"/>
    <x v="4"/>
    <n v="1311.26"/>
    <n v="6"/>
    <n v="0.1"/>
    <x v="120"/>
    <n v="531.05999999999995"/>
    <n v="131.126"/>
    <d v="2026-03-13T10:46:39"/>
  </r>
  <r>
    <s v="CUST004"/>
    <s v="Mary Davis"/>
    <x v="2"/>
    <x v="4"/>
    <n v="573.32000000000005"/>
    <n v="19"/>
    <n v="0.1"/>
    <x v="121"/>
    <n v="232.19"/>
    <n v="57.332000000000008"/>
    <d v="2026-03-13T10:46:39"/>
  </r>
  <r>
    <s v="CUST028"/>
    <s v="James Wilson"/>
    <x v="0"/>
    <x v="2"/>
    <n v="1115.22"/>
    <n v="14"/>
    <n v="0.2"/>
    <x v="122"/>
    <n v="223.04"/>
    <n v="223.04400000000001"/>
    <d v="2026-03-13T10:46:39"/>
  </r>
  <r>
    <s v="CUST012"/>
    <s v="Lisa Thomas"/>
    <x v="3"/>
    <x v="1"/>
    <n v="845.84"/>
    <n v="4"/>
    <n v="0"/>
    <x v="123"/>
    <n v="422.92"/>
    <n v="0"/>
    <d v="2026-03-13T10:46:39"/>
  </r>
  <r>
    <s v="CUST026"/>
    <s v="David Brown"/>
    <x v="0"/>
    <x v="2"/>
    <n v="1029.8"/>
    <n v="3"/>
    <n v="0"/>
    <x v="124"/>
    <n v="257.45"/>
    <n v="0"/>
    <d v="2026-03-13T10:46:39"/>
  </r>
  <r>
    <s v="CUST009"/>
    <s v="Mary Davis"/>
    <x v="3"/>
    <x v="0"/>
    <n v="1189.83"/>
    <n v="2"/>
    <n v="0.2"/>
    <x v="125"/>
    <n v="380.75"/>
    <n v="237.96600000000001"/>
    <d v="2026-03-13T10:46:39"/>
  </r>
  <r>
    <s v="CUST003"/>
    <s v="Sarah Anderson"/>
    <x v="2"/>
    <x v="0"/>
    <n v="704.28"/>
    <n v="15"/>
    <n v="0.2"/>
    <x v="126"/>
    <n v="225.37"/>
    <n v="140.85599999999999"/>
    <d v="2026-03-13T10:46:39"/>
  </r>
  <r>
    <s v="CUST002"/>
    <s v="Mary Jackson"/>
    <x v="4"/>
    <x v="4"/>
    <n v="1618.22"/>
    <n v="12"/>
    <n v="0.2"/>
    <x v="126"/>
    <n v="582.55999999999995"/>
    <n v="323.64400000000001"/>
    <d v="2026-03-13T10:46:39"/>
  </r>
  <r>
    <s v="CUST013"/>
    <s v="Linda Taylor"/>
    <x v="4"/>
    <x v="0"/>
    <n v="1014.43"/>
    <n v="2"/>
    <n v="0.15"/>
    <x v="127"/>
    <n v="344.91"/>
    <n v="152.16449999999998"/>
    <d v="2026-03-13T10:46:39"/>
  </r>
  <r>
    <s v="CUST018"/>
    <s v="Mary Davis"/>
    <x v="4"/>
    <x v="1"/>
    <n v="826.97"/>
    <n v="18"/>
    <n v="0.2"/>
    <x v="128"/>
    <n v="330.79"/>
    <n v="165.39400000000001"/>
    <d v="2026-03-13T10:46:39"/>
  </r>
  <r>
    <s v="CUST017"/>
    <s v="Mary Davis"/>
    <x v="4"/>
    <x v="1"/>
    <n v="1022.23"/>
    <n v="8"/>
    <n v="0.1"/>
    <x v="129"/>
    <n v="460"/>
    <n v="102.22300000000001"/>
    <d v="2026-03-13T10:46:39"/>
  </r>
  <r>
    <s v="CUST004"/>
    <s v="Linda Wilson"/>
    <x v="1"/>
    <x v="0"/>
    <n v="1099.69"/>
    <n v="6"/>
    <n v="0"/>
    <x v="130"/>
    <n v="439.88"/>
    <n v="0"/>
    <d v="2026-03-13T10:46:39"/>
  </r>
  <r>
    <s v="CUST028"/>
    <s v="Sarah Davis"/>
    <x v="3"/>
    <x v="0"/>
    <n v="710.52"/>
    <n v="8"/>
    <n v="0.1"/>
    <x v="131"/>
    <n v="255.79"/>
    <n v="71.052000000000007"/>
    <d v="2026-03-13T10:46:39"/>
  </r>
  <r>
    <s v="CUST028"/>
    <s v="Mary Wilson"/>
    <x v="3"/>
    <x v="0"/>
    <n v="499.18"/>
    <n v="15"/>
    <n v="0.2"/>
    <x v="132"/>
    <n v="159.74"/>
    <n v="99.836000000000013"/>
    <d v="2026-03-13T10:46:39"/>
  </r>
  <r>
    <s v="CUST014"/>
    <s v="Emma Davis"/>
    <x v="2"/>
    <x v="0"/>
    <n v="1064.19"/>
    <n v="18"/>
    <n v="0.05"/>
    <x v="133"/>
    <n v="404.39"/>
    <n v="53.209500000000006"/>
    <d v="2026-03-13T10:46:39"/>
  </r>
  <r>
    <s v="CUST003"/>
    <s v="Emma Davis"/>
    <x v="1"/>
    <x v="4"/>
    <n v="438.76"/>
    <n v="18"/>
    <n v="0.05"/>
    <x v="134"/>
    <n v="187.57"/>
    <n v="21.938000000000002"/>
    <d v="2026-03-13T10:46:39"/>
  </r>
  <r>
    <s v="CUST029"/>
    <s v="David Brown"/>
    <x v="0"/>
    <x v="1"/>
    <n v="864.98"/>
    <n v="2"/>
    <n v="0.05"/>
    <x v="135"/>
    <n v="410.87"/>
    <n v="43.249000000000002"/>
    <d v="2026-03-13T10:46:39"/>
  </r>
  <r>
    <s v="CUST021"/>
    <s v="David Brown"/>
    <x v="0"/>
    <x v="3"/>
    <n v="984.93"/>
    <n v="14"/>
    <n v="0.2"/>
    <x v="136"/>
    <n v="275.77999999999997"/>
    <n v="196.98599999999999"/>
    <d v="2026-03-13T10:46:39"/>
  </r>
  <r>
    <s v="CUST007"/>
    <s v="David Brown"/>
    <x v="0"/>
    <x v="1"/>
    <n v="1493.49"/>
    <n v="18"/>
    <n v="0"/>
    <x v="137"/>
    <n v="746.74"/>
    <n v="0"/>
    <d v="2026-03-13T10:46:39"/>
  </r>
  <r>
    <s v="CUST009"/>
    <s v="Linda Taylor"/>
    <x v="2"/>
    <x v="1"/>
    <n v="689.43"/>
    <n v="9"/>
    <n v="0.1"/>
    <x v="138"/>
    <n v="310.24"/>
    <n v="68.942999999999998"/>
    <d v="2026-03-13T10:46:39"/>
  </r>
  <r>
    <s v="CUST023"/>
    <s v="Mary Wilson"/>
    <x v="2"/>
    <x v="1"/>
    <n v="682.24"/>
    <n v="1"/>
    <n v="0"/>
    <x v="139"/>
    <n v="341.12"/>
    <n v="0"/>
    <d v="2026-03-13T10:46:39"/>
  </r>
  <r>
    <s v="CUST029"/>
    <s v="Michael Anderson"/>
    <x v="3"/>
    <x v="2"/>
    <n v="458.54"/>
    <n v="15"/>
    <n v="0.2"/>
    <x v="140"/>
    <n v="91.71"/>
    <n v="91.708000000000013"/>
    <d v="2026-03-13T10:46:39"/>
  </r>
  <r>
    <s v="CUST009"/>
    <s v="Michael Anderson"/>
    <x v="2"/>
    <x v="3"/>
    <n v="1184.25"/>
    <n v="11"/>
    <n v="0.2"/>
    <x v="141"/>
    <n v="331.59"/>
    <n v="236.85000000000002"/>
    <d v="2026-03-13T10:46:39"/>
  </r>
  <r>
    <s v="CUST007"/>
    <s v="James Davis"/>
    <x v="2"/>
    <x v="1"/>
    <n v="762.14"/>
    <n v="9"/>
    <n v="0"/>
    <x v="142"/>
    <n v="381.07"/>
    <n v="0"/>
    <d v="2026-03-13T10:46:39"/>
  </r>
  <r>
    <s v="CUST030"/>
    <s v="Linda Taylor"/>
    <x v="3"/>
    <x v="0"/>
    <n v="750.71"/>
    <n v="10"/>
    <n v="0.15"/>
    <x v="142"/>
    <n v="255.24"/>
    <n v="112.6065"/>
    <d v="2026-03-13T10:46:39"/>
  </r>
  <r>
    <s v="CUST018"/>
    <s v="David Anderson"/>
    <x v="4"/>
    <x v="1"/>
    <n v="1456.94"/>
    <n v="14"/>
    <n v="0.05"/>
    <x v="143"/>
    <n v="692.05"/>
    <n v="72.847000000000008"/>
    <d v="2026-03-13T10:46:39"/>
  </r>
  <r>
    <s v="CUST008"/>
    <s v="Emma Wilson"/>
    <x v="1"/>
    <x v="3"/>
    <n v="1093.3800000000001"/>
    <n v="17"/>
    <n v="0.1"/>
    <x v="143"/>
    <n v="344.41"/>
    <n v="109.33800000000002"/>
    <d v="2026-03-13T10:46:39"/>
  </r>
  <r>
    <s v="CUST014"/>
    <s v="Sarah Anderson"/>
    <x v="0"/>
    <x v="1"/>
    <n v="934.27"/>
    <n v="8"/>
    <n v="0.15"/>
    <x v="144"/>
    <n v="397.06"/>
    <n v="140.1405"/>
    <d v="2026-03-13T10:46:39"/>
  </r>
  <r>
    <s v="CUST024"/>
    <s v="David Thomas"/>
    <x v="4"/>
    <x v="1"/>
    <n v="1465.35"/>
    <n v="8"/>
    <n v="0.2"/>
    <x v="144"/>
    <n v="586.14"/>
    <n v="293.07"/>
    <d v="2026-03-13T10:46:39"/>
  </r>
  <r>
    <s v="CUST028"/>
    <s v="Robert Anderson"/>
    <x v="2"/>
    <x v="4"/>
    <n v="740.8"/>
    <n v="3"/>
    <n v="0"/>
    <x v="145"/>
    <n v="333.36"/>
    <n v="0"/>
    <d v="2026-03-13T10:46:39"/>
  </r>
  <r>
    <s v="CUST015"/>
    <s v="Sarah Anderson"/>
    <x v="0"/>
    <x v="4"/>
    <n v="545.44000000000005"/>
    <n v="17"/>
    <n v="0"/>
    <x v="146"/>
    <n v="245.45"/>
    <n v="0"/>
    <d v="2026-03-13T10:46:39"/>
  </r>
  <r>
    <s v="CUST010"/>
    <s v="David Thomas"/>
    <x v="1"/>
    <x v="0"/>
    <n v="997.61"/>
    <n v="8"/>
    <n v="0.05"/>
    <x v="146"/>
    <n v="379.09"/>
    <n v="49.880500000000005"/>
    <d v="2026-03-13T10:46:39"/>
  </r>
  <r>
    <s v="CUST016"/>
    <s v="David Thomas"/>
    <x v="2"/>
    <x v="1"/>
    <n v="928.32"/>
    <n v="2"/>
    <n v="0.05"/>
    <x v="147"/>
    <n v="440.95"/>
    <n v="46.416000000000004"/>
    <d v="2026-03-13T10:46: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1:G8" firstHeaderRow="1" firstDataRow="2" firstDataCol="1"/>
  <pivotFields count="11">
    <pivotField showAll="0"/>
    <pivotField showAll="0"/>
    <pivotField axis="axisCol" showAll="0">
      <items count="6">
        <item x="4"/>
        <item x="1"/>
        <item x="3"/>
        <item x="2"/>
        <item x="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  <pivotField showAll="0"/>
    <pivotField numFmtId="22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Col" fieldPosition="0"/>
    </format>
    <format dxfId="2">
      <pivotArea dataOnly="0" labelOnly="1" outline="0" axis="axisValues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5" rowHeaderCaption="Product">
  <location ref="G11:H17" firstHeaderRow="1" firstDataRow="1" firstDataCol="1"/>
  <pivotFields count="11">
    <pivotField showAll="0"/>
    <pivotField showAll="0"/>
    <pivotField showAll="0">
      <items count="6">
        <item x="4"/>
        <item x="1"/>
        <item x="3"/>
        <item x="2"/>
        <item x="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numFmtId="14" showAll="0"/>
    <pivotField dataField="1" showAll="0"/>
    <pivotField showAll="0"/>
    <pivotField numFmtId="22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8" baseField="0" baseItem="0"/>
  </dataFields>
  <formats count="5">
    <format dxfId="10">
      <pivotArea type="all" dataOnly="0" outline="0" fieldPosition="0"/>
    </format>
    <format dxfId="9">
      <pivotArea outline="0" collapsedLevelsAreSubtotals="1" fieldPosition="0"/>
    </format>
    <format dxfId="8">
      <pivotArea field="2" type="button" dataOnly="0" labelOnly="1" outline="0"/>
    </format>
    <format dxfId="7">
      <pivotArea dataOnly="0" labelOnly="1" outline="0" axis="axisValues" fieldPosition="0"/>
    </format>
    <format dxfId="6">
      <pivotArea dataOnly="0" labelOnly="1" grandRow="1" outline="0" fieldPosition="0"/>
    </format>
  </formats>
  <chartFormats count="12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 rowHeaderCaption="Date">
  <location ref="D11:E160" firstHeaderRow="1" firstDataRow="1" firstDataCol="1"/>
  <pivotFields count="11">
    <pivotField showAll="0"/>
    <pivotField showAll="0"/>
    <pivotField showAll="0">
      <items count="6">
        <item x="4"/>
        <item x="1"/>
        <item x="3"/>
        <item x="2"/>
        <item x="0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axis="axisRow" numFmtId="14" showAll="0" defaultSubtotal="0">
      <items count="1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</items>
    </pivotField>
    <pivotField showAll="0"/>
    <pivotField showAll="0"/>
    <pivotField numFmtId="22" showAll="0"/>
  </pivotFields>
  <rowFields count="1">
    <field x="7"/>
  </rowFields>
  <rowItems count="1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 t="grand">
      <x/>
    </i>
  </rowItems>
  <colItems count="1">
    <i/>
  </colItems>
  <dataFields count="1">
    <dataField name="Sum of Sales" fld="4" baseField="0" baseItem="0"/>
  </dataFields>
  <formats count="9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" type="button" dataOnly="0" labelOnly="1" outline="0"/>
    </format>
    <format dxfId="16">
      <pivotArea dataOnly="0" labelOnly="1" outline="0" axis="axisValues" fieldPosition="0"/>
    </format>
    <format dxfId="15">
      <pivotArea dataOnly="0" labelOnly="1" grandRow="1" outline="0" fieldPosition="0"/>
    </format>
    <format dxfId="14">
      <pivotArea dataOnly="0" labelOnly="1" fieldPosition="0">
        <references count="1"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">
      <pivotArea dataOnly="0" labelOnly="1" fieldPosition="0">
        <references count="1">
          <reference field="7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2">
      <pivotArea dataOnly="0" labelOnly="1" fieldPosition="0">
        <references count="1">
          <reference field="7" count="48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</reference>
        </references>
      </pivotArea>
    </format>
    <format dxfId="11">
      <pivotArea dataOnly="0" labelOnly="1" grandRow="1" outline="0" fieldPosition="0"/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 rowHeaderCaption="Region">
  <location ref="A11:B17" firstHeaderRow="1" firstDataRow="1" firstDataCol="1"/>
  <pivotFields count="11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  <pivotField showAll="0"/>
    <pivotField numFmtId="22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2" type="button" dataOnly="0" labelOnly="1" outline="0" axis="axisRow" fieldPosition="0"/>
    </format>
    <format dxfId="22">
      <pivotArea dataOnly="0" labelOnly="1" outline="0" axis="axisValues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dataOnly="0" labelOnly="1" grandRow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K201" totalsRowShown="0" headerRowDxfId="41" dataDxfId="39" headerRowBorderDxfId="40" tableBorderDxfId="38" totalsRowBorderDxfId="37">
  <autoFilter ref="A1:K201"/>
  <tableColumns count="11">
    <tableColumn id="1" name="Customer_ID" dataDxfId="36"/>
    <tableColumn id="2" name="Customer_Name" dataDxfId="35"/>
    <tableColumn id="3" name="Region" dataDxfId="34"/>
    <tableColumn id="4" name="Product_Category" dataDxfId="33"/>
    <tableColumn id="5" name="Sales" dataDxfId="32"/>
    <tableColumn id="6" name="Quantity" dataDxfId="31"/>
    <tableColumn id="7" name="Discount" dataDxfId="30"/>
    <tableColumn id="8" name="Order_Date" dataDxfId="29"/>
    <tableColumn id="9" name="Profit" dataDxfId="28"/>
    <tableColumn id="10" name="Total profit" dataDxfId="27">
      <calculatedColumnFormula>E2*G2</calculatedColumnFormula>
    </tableColumn>
    <tableColumn id="29" name="Timestamp" dataDxfId="26">
      <calculatedColumnFormula>NOW()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4"/>
  <sheetViews>
    <sheetView zoomScaleNormal="100" workbookViewId="0">
      <selection activeCell="D7" sqref="D7"/>
    </sheetView>
  </sheetViews>
  <sheetFormatPr defaultRowHeight="15" x14ac:dyDescent="0.25"/>
  <cols>
    <col min="1" max="1" width="17.42578125" bestFit="1" customWidth="1"/>
    <col min="2" max="2" width="21" bestFit="1" customWidth="1"/>
    <col min="3" max="3" width="12.28515625" bestFit="1" customWidth="1"/>
    <col min="4" max="4" width="18.85546875" customWidth="1"/>
    <col min="5" max="5" width="10.7109375" bestFit="1" customWidth="1"/>
    <col min="6" max="6" width="10.85546875" customWidth="1"/>
    <col min="7" max="7" width="13.85546875" bestFit="1" customWidth="1"/>
    <col min="8" max="8" width="16.28515625" bestFit="1" customWidth="1"/>
    <col min="9" max="9" width="11.140625" customWidth="1"/>
    <col min="10" max="10" width="16.140625" bestFit="1" customWidth="1"/>
    <col min="11" max="11" width="14.85546875" bestFit="1" customWidth="1"/>
  </cols>
  <sheetData>
    <row r="1" spans="1:11" x14ac:dyDescent="0.2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77</v>
      </c>
      <c r="K1" s="25" t="s">
        <v>115</v>
      </c>
    </row>
    <row r="2" spans="1:11" x14ac:dyDescent="0.25">
      <c r="A2" s="26" t="s">
        <v>9</v>
      </c>
      <c r="B2" s="27" t="s">
        <v>10</v>
      </c>
      <c r="C2" s="27" t="s">
        <v>11</v>
      </c>
      <c r="D2" s="27" t="s">
        <v>12</v>
      </c>
      <c r="E2" s="27">
        <v>1036.0899999999999</v>
      </c>
      <c r="F2" s="27">
        <v>4</v>
      </c>
      <c r="G2" s="27">
        <v>0.2</v>
      </c>
      <c r="H2" s="28">
        <v>45392</v>
      </c>
      <c r="I2" s="27">
        <v>331.55</v>
      </c>
      <c r="J2" s="27">
        <f t="shared" ref="J2:J33" si="0">E2*G2</f>
        <v>207.21799999999999</v>
      </c>
      <c r="K2" s="29">
        <f t="shared" ref="K2:K33" ca="1" si="1">NOW()</f>
        <v>46097.460787847223</v>
      </c>
    </row>
    <row r="3" spans="1:11" ht="17.25" customHeight="1" x14ac:dyDescent="0.25">
      <c r="A3" s="26" t="s">
        <v>13</v>
      </c>
      <c r="B3" s="27" t="s">
        <v>14</v>
      </c>
      <c r="C3" s="27" t="s">
        <v>11</v>
      </c>
      <c r="D3" s="27" t="s">
        <v>15</v>
      </c>
      <c r="E3" s="27">
        <v>1101.28</v>
      </c>
      <c r="F3" s="27">
        <v>3</v>
      </c>
      <c r="G3" s="27">
        <v>0.2</v>
      </c>
      <c r="H3" s="28">
        <v>45393</v>
      </c>
      <c r="I3" s="27">
        <v>440.51</v>
      </c>
      <c r="J3" s="27">
        <f t="shared" si="0"/>
        <v>220.256</v>
      </c>
      <c r="K3" s="29">
        <f t="shared" ca="1" si="1"/>
        <v>46097.460787847223</v>
      </c>
    </row>
    <row r="4" spans="1:11" x14ac:dyDescent="0.25">
      <c r="A4" s="26" t="s">
        <v>16</v>
      </c>
      <c r="B4" s="27" t="s">
        <v>17</v>
      </c>
      <c r="C4" s="27" t="s">
        <v>18</v>
      </c>
      <c r="D4" s="27" t="s">
        <v>12</v>
      </c>
      <c r="E4" s="27">
        <v>713.34</v>
      </c>
      <c r="F4" s="27">
        <v>17</v>
      </c>
      <c r="G4" s="27">
        <v>0.5</v>
      </c>
      <c r="H4" s="28">
        <v>45396</v>
      </c>
      <c r="I4" s="27">
        <v>285.33999999999997</v>
      </c>
      <c r="J4" s="27">
        <f t="shared" si="0"/>
        <v>356.67</v>
      </c>
      <c r="K4" s="29">
        <f t="shared" ca="1" si="1"/>
        <v>46097.460787847223</v>
      </c>
    </row>
    <row r="5" spans="1:11" ht="19.5" customHeight="1" x14ac:dyDescent="0.25">
      <c r="A5" s="26" t="s">
        <v>19</v>
      </c>
      <c r="B5" s="27" t="s">
        <v>14</v>
      </c>
      <c r="C5" s="27" t="s">
        <v>20</v>
      </c>
      <c r="D5" s="27" t="s">
        <v>21</v>
      </c>
      <c r="E5" s="27">
        <v>760.93</v>
      </c>
      <c r="F5" s="27">
        <v>4</v>
      </c>
      <c r="G5" s="27">
        <v>0.15</v>
      </c>
      <c r="H5" s="28">
        <v>45396</v>
      </c>
      <c r="I5" s="27">
        <v>161.69999999999999</v>
      </c>
      <c r="J5" s="27">
        <f t="shared" si="0"/>
        <v>114.13949999999998</v>
      </c>
      <c r="K5" s="29">
        <f t="shared" ca="1" si="1"/>
        <v>46097.460787847223</v>
      </c>
    </row>
    <row r="6" spans="1:11" ht="17.25" customHeight="1" x14ac:dyDescent="0.25">
      <c r="A6" s="26" t="s">
        <v>22</v>
      </c>
      <c r="B6" s="27" t="s">
        <v>23</v>
      </c>
      <c r="C6" s="27" t="s">
        <v>24</v>
      </c>
      <c r="D6" s="27" t="s">
        <v>12</v>
      </c>
      <c r="E6" s="27">
        <v>847</v>
      </c>
      <c r="F6" s="27">
        <v>12</v>
      </c>
      <c r="G6" s="27">
        <v>0.2</v>
      </c>
      <c r="H6" s="28">
        <v>45397</v>
      </c>
      <c r="I6" s="27">
        <v>271.04000000000002</v>
      </c>
      <c r="J6" s="27">
        <f t="shared" si="0"/>
        <v>169.4</v>
      </c>
      <c r="K6" s="29">
        <f t="shared" ca="1" si="1"/>
        <v>46097.460787847223</v>
      </c>
    </row>
    <row r="7" spans="1:11" ht="16.5" customHeight="1" x14ac:dyDescent="0.25">
      <c r="A7" s="26" t="s">
        <v>25</v>
      </c>
      <c r="B7" s="27" t="s">
        <v>26</v>
      </c>
      <c r="C7" s="27" t="s">
        <v>24</v>
      </c>
      <c r="D7" s="27" t="s">
        <v>27</v>
      </c>
      <c r="E7" s="27">
        <v>965.64</v>
      </c>
      <c r="F7" s="27">
        <v>8</v>
      </c>
      <c r="G7" s="27">
        <v>0.1</v>
      </c>
      <c r="H7" s="28">
        <v>45398</v>
      </c>
      <c r="I7" s="27">
        <v>304.18</v>
      </c>
      <c r="J7" s="27">
        <f t="shared" si="0"/>
        <v>96.564000000000007</v>
      </c>
      <c r="K7" s="29">
        <f t="shared" ca="1" si="1"/>
        <v>46097.460787847223</v>
      </c>
    </row>
    <row r="8" spans="1:11" x14ac:dyDescent="0.25">
      <c r="A8" s="26" t="s">
        <v>28</v>
      </c>
      <c r="B8" s="27" t="s">
        <v>29</v>
      </c>
      <c r="C8" s="27" t="s">
        <v>11</v>
      </c>
      <c r="D8" s="27" t="s">
        <v>21</v>
      </c>
      <c r="E8" s="27">
        <v>1317.53</v>
      </c>
      <c r="F8" s="27">
        <v>12</v>
      </c>
      <c r="G8" s="27">
        <v>0.05</v>
      </c>
      <c r="H8" s="28">
        <v>45398</v>
      </c>
      <c r="I8" s="27">
        <v>312.91000000000003</v>
      </c>
      <c r="J8" s="27">
        <f t="shared" si="0"/>
        <v>65.876500000000007</v>
      </c>
      <c r="K8" s="29">
        <f t="shared" ca="1" si="1"/>
        <v>46097.460787847223</v>
      </c>
    </row>
    <row r="9" spans="1:11" x14ac:dyDescent="0.25">
      <c r="A9" s="26" t="s">
        <v>30</v>
      </c>
      <c r="B9" s="27" t="s">
        <v>31</v>
      </c>
      <c r="C9" s="27" t="s">
        <v>18</v>
      </c>
      <c r="D9" s="27" t="s">
        <v>27</v>
      </c>
      <c r="E9" s="27">
        <v>1074.47</v>
      </c>
      <c r="F9" s="27">
        <v>6</v>
      </c>
      <c r="G9" s="27">
        <v>0.2</v>
      </c>
      <c r="H9" s="28">
        <v>45401</v>
      </c>
      <c r="I9" s="27">
        <v>300.85000000000002</v>
      </c>
      <c r="J9" s="27">
        <f t="shared" si="0"/>
        <v>214.89400000000001</v>
      </c>
      <c r="K9" s="29">
        <f t="shared" ca="1" si="1"/>
        <v>46097.460787847223</v>
      </c>
    </row>
    <row r="10" spans="1:11" x14ac:dyDescent="0.25">
      <c r="A10" s="26" t="s">
        <v>32</v>
      </c>
      <c r="B10" s="27" t="s">
        <v>33</v>
      </c>
      <c r="C10" s="27" t="s">
        <v>34</v>
      </c>
      <c r="D10" s="27" t="s">
        <v>12</v>
      </c>
      <c r="E10" s="27">
        <v>501.54</v>
      </c>
      <c r="F10" s="27">
        <v>11</v>
      </c>
      <c r="G10" s="27">
        <v>0.05</v>
      </c>
      <c r="H10" s="28">
        <v>45401</v>
      </c>
      <c r="I10" s="27">
        <v>190.59</v>
      </c>
      <c r="J10" s="27">
        <f t="shared" si="0"/>
        <v>25.077000000000002</v>
      </c>
      <c r="K10" s="29">
        <f t="shared" ca="1" si="1"/>
        <v>46097.460787847223</v>
      </c>
    </row>
    <row r="11" spans="1:11" x14ac:dyDescent="0.25">
      <c r="A11" s="26" t="s">
        <v>35</v>
      </c>
      <c r="B11" s="27" t="s">
        <v>36</v>
      </c>
      <c r="C11" s="27" t="s">
        <v>34</v>
      </c>
      <c r="D11" s="27" t="s">
        <v>15</v>
      </c>
      <c r="E11" s="27">
        <v>737.31</v>
      </c>
      <c r="F11" s="27">
        <v>2</v>
      </c>
      <c r="G11" s="27">
        <v>0.05</v>
      </c>
      <c r="H11" s="28">
        <v>45401</v>
      </c>
      <c r="I11" s="27">
        <v>350.22</v>
      </c>
      <c r="J11" s="27">
        <f t="shared" si="0"/>
        <v>36.865499999999997</v>
      </c>
      <c r="K11" s="29">
        <f t="shared" ca="1" si="1"/>
        <v>46097.460787847223</v>
      </c>
    </row>
    <row r="12" spans="1:11" x14ac:dyDescent="0.25">
      <c r="A12" s="26" t="s">
        <v>37</v>
      </c>
      <c r="B12" s="27" t="s">
        <v>38</v>
      </c>
      <c r="C12" s="27" t="s">
        <v>11</v>
      </c>
      <c r="D12" s="27" t="s">
        <v>39</v>
      </c>
      <c r="E12" s="27">
        <v>1572.82</v>
      </c>
      <c r="F12" s="27">
        <v>6</v>
      </c>
      <c r="G12" s="27">
        <v>0.05</v>
      </c>
      <c r="H12" s="28">
        <v>45402</v>
      </c>
      <c r="I12" s="27">
        <v>672.38</v>
      </c>
      <c r="J12" s="27">
        <f t="shared" si="0"/>
        <v>78.641000000000005</v>
      </c>
      <c r="K12" s="29">
        <f t="shared" ca="1" si="1"/>
        <v>46097.460787847223</v>
      </c>
    </row>
    <row r="13" spans="1:11" x14ac:dyDescent="0.25">
      <c r="A13" s="26" t="s">
        <v>37</v>
      </c>
      <c r="B13" s="27" t="s">
        <v>36</v>
      </c>
      <c r="C13" s="27" t="s">
        <v>34</v>
      </c>
      <c r="D13" s="27" t="s">
        <v>12</v>
      </c>
      <c r="E13" s="27">
        <v>1343.13</v>
      </c>
      <c r="F13" s="27">
        <v>14</v>
      </c>
      <c r="G13" s="27">
        <v>0.15</v>
      </c>
      <c r="H13" s="28">
        <v>45404</v>
      </c>
      <c r="I13" s="27">
        <v>456.66</v>
      </c>
      <c r="J13" s="27">
        <f t="shared" si="0"/>
        <v>201.46950000000001</v>
      </c>
      <c r="K13" s="29">
        <f t="shared" ca="1" si="1"/>
        <v>46097.460787847223</v>
      </c>
    </row>
    <row r="14" spans="1:11" x14ac:dyDescent="0.25">
      <c r="A14" s="26" t="s">
        <v>25</v>
      </c>
      <c r="B14" s="27" t="s">
        <v>26</v>
      </c>
      <c r="C14" s="27" t="s">
        <v>34</v>
      </c>
      <c r="D14" s="27" t="s">
        <v>12</v>
      </c>
      <c r="E14" s="27">
        <v>1191.58</v>
      </c>
      <c r="F14" s="27">
        <v>14</v>
      </c>
      <c r="G14" s="27">
        <v>0.05</v>
      </c>
      <c r="H14" s="28">
        <v>45406</v>
      </c>
      <c r="I14" s="27">
        <v>452.8</v>
      </c>
      <c r="J14" s="27">
        <f t="shared" si="0"/>
        <v>59.579000000000001</v>
      </c>
      <c r="K14" s="29">
        <f t="shared" ca="1" si="1"/>
        <v>46097.460787847223</v>
      </c>
    </row>
    <row r="15" spans="1:11" x14ac:dyDescent="0.25">
      <c r="A15" s="26" t="s">
        <v>40</v>
      </c>
      <c r="B15" s="27" t="s">
        <v>14</v>
      </c>
      <c r="C15" s="27" t="s">
        <v>11</v>
      </c>
      <c r="D15" s="27" t="s">
        <v>27</v>
      </c>
      <c r="E15" s="27">
        <v>822.28</v>
      </c>
      <c r="F15" s="27">
        <v>7</v>
      </c>
      <c r="G15" s="27">
        <v>0.05</v>
      </c>
      <c r="H15" s="28">
        <v>45406</v>
      </c>
      <c r="I15" s="27">
        <v>273.41000000000003</v>
      </c>
      <c r="J15" s="27">
        <f t="shared" si="0"/>
        <v>41.114000000000004</v>
      </c>
      <c r="K15" s="29">
        <f t="shared" ca="1" si="1"/>
        <v>46097.460787847223</v>
      </c>
    </row>
    <row r="16" spans="1:11" x14ac:dyDescent="0.25">
      <c r="A16" s="26" t="s">
        <v>41</v>
      </c>
      <c r="B16" s="27" t="s">
        <v>42</v>
      </c>
      <c r="C16" s="27" t="s">
        <v>24</v>
      </c>
      <c r="D16" s="27" t="s">
        <v>27</v>
      </c>
      <c r="E16" s="27">
        <v>521.66999999999996</v>
      </c>
      <c r="F16" s="27">
        <v>15</v>
      </c>
      <c r="G16" s="27">
        <v>0.15</v>
      </c>
      <c r="H16" s="28">
        <v>45409</v>
      </c>
      <c r="I16" s="27">
        <v>155.19999999999999</v>
      </c>
      <c r="J16" s="27">
        <f t="shared" si="0"/>
        <v>78.250499999999988</v>
      </c>
      <c r="K16" s="29">
        <f t="shared" ca="1" si="1"/>
        <v>46097.460787847223</v>
      </c>
    </row>
    <row r="17" spans="1:11" x14ac:dyDescent="0.25">
      <c r="A17" s="26" t="s">
        <v>19</v>
      </c>
      <c r="B17" s="27" t="s">
        <v>43</v>
      </c>
      <c r="C17" s="27" t="s">
        <v>20</v>
      </c>
      <c r="D17" s="27" t="s">
        <v>21</v>
      </c>
      <c r="E17" s="27">
        <v>1502.93</v>
      </c>
      <c r="F17" s="27">
        <v>14</v>
      </c>
      <c r="G17" s="27">
        <v>0.2</v>
      </c>
      <c r="H17" s="28">
        <v>45410</v>
      </c>
      <c r="I17" s="27">
        <v>300.58999999999997</v>
      </c>
      <c r="J17" s="27">
        <f t="shared" si="0"/>
        <v>300.58600000000001</v>
      </c>
      <c r="K17" s="29">
        <f t="shared" ca="1" si="1"/>
        <v>46097.460787847223</v>
      </c>
    </row>
    <row r="18" spans="1:11" x14ac:dyDescent="0.25">
      <c r="A18" s="26" t="s">
        <v>44</v>
      </c>
      <c r="B18" s="27" t="s">
        <v>14</v>
      </c>
      <c r="C18" s="27" t="s">
        <v>20</v>
      </c>
      <c r="D18" s="27" t="s">
        <v>12</v>
      </c>
      <c r="E18" s="27">
        <v>877.58</v>
      </c>
      <c r="F18" s="27">
        <v>10</v>
      </c>
      <c r="G18" s="27">
        <v>0.15</v>
      </c>
      <c r="H18" s="28">
        <v>45411</v>
      </c>
      <c r="I18" s="27">
        <v>298.38</v>
      </c>
      <c r="J18" s="27">
        <f t="shared" si="0"/>
        <v>131.637</v>
      </c>
      <c r="K18" s="29">
        <f t="shared" ca="1" si="1"/>
        <v>46097.460787847223</v>
      </c>
    </row>
    <row r="19" spans="1:11" x14ac:dyDescent="0.25">
      <c r="A19" s="26" t="s">
        <v>28</v>
      </c>
      <c r="B19" s="27" t="s">
        <v>45</v>
      </c>
      <c r="C19" s="27" t="s">
        <v>11</v>
      </c>
      <c r="D19" s="27" t="s">
        <v>12</v>
      </c>
      <c r="E19" s="27">
        <v>636.70000000000005</v>
      </c>
      <c r="F19" s="27">
        <v>4</v>
      </c>
      <c r="G19" s="27">
        <v>0.2</v>
      </c>
      <c r="H19" s="28">
        <v>45411</v>
      </c>
      <c r="I19" s="27">
        <v>203.74</v>
      </c>
      <c r="J19" s="27">
        <f t="shared" si="0"/>
        <v>127.34000000000002</v>
      </c>
      <c r="K19" s="29">
        <f t="shared" ca="1" si="1"/>
        <v>46097.460787847223</v>
      </c>
    </row>
    <row r="20" spans="1:11" x14ac:dyDescent="0.25">
      <c r="A20" s="26" t="s">
        <v>46</v>
      </c>
      <c r="B20" s="27" t="s">
        <v>47</v>
      </c>
      <c r="C20" s="27" t="s">
        <v>11</v>
      </c>
      <c r="D20" s="27" t="s">
        <v>12</v>
      </c>
      <c r="E20" s="27">
        <v>1506.14</v>
      </c>
      <c r="F20" s="27">
        <v>13</v>
      </c>
      <c r="G20" s="27">
        <v>0.2</v>
      </c>
      <c r="H20" s="28">
        <v>45412</v>
      </c>
      <c r="I20" s="27">
        <v>481.96</v>
      </c>
      <c r="J20" s="27">
        <f t="shared" si="0"/>
        <v>301.22800000000001</v>
      </c>
      <c r="K20" s="29">
        <f t="shared" ca="1" si="1"/>
        <v>46097.460787847223</v>
      </c>
    </row>
    <row r="21" spans="1:11" x14ac:dyDescent="0.25">
      <c r="A21" s="26" t="s">
        <v>30</v>
      </c>
      <c r="B21" s="27" t="s">
        <v>31</v>
      </c>
      <c r="C21" s="27" t="s">
        <v>34</v>
      </c>
      <c r="D21" s="27" t="s">
        <v>21</v>
      </c>
      <c r="E21" s="27">
        <v>645.02</v>
      </c>
      <c r="F21" s="27">
        <v>4</v>
      </c>
      <c r="G21" s="27">
        <v>0</v>
      </c>
      <c r="H21" s="28">
        <v>45414</v>
      </c>
      <c r="I21" s="27">
        <v>161.26</v>
      </c>
      <c r="J21" s="27">
        <f t="shared" si="0"/>
        <v>0</v>
      </c>
      <c r="K21" s="29">
        <f t="shared" ca="1" si="1"/>
        <v>46097.460787847223</v>
      </c>
    </row>
    <row r="22" spans="1:11" x14ac:dyDescent="0.25">
      <c r="A22" s="26" t="s">
        <v>25</v>
      </c>
      <c r="B22" s="27" t="s">
        <v>48</v>
      </c>
      <c r="C22" s="27" t="s">
        <v>20</v>
      </c>
      <c r="D22" s="27" t="s">
        <v>15</v>
      </c>
      <c r="E22" s="27">
        <v>953.3</v>
      </c>
      <c r="F22" s="27">
        <v>11</v>
      </c>
      <c r="G22" s="27">
        <v>0</v>
      </c>
      <c r="H22" s="28">
        <v>45415</v>
      </c>
      <c r="I22" s="27">
        <v>476.65</v>
      </c>
      <c r="J22" s="27">
        <f t="shared" si="0"/>
        <v>0</v>
      </c>
      <c r="K22" s="29">
        <f t="shared" ca="1" si="1"/>
        <v>46097.460787847223</v>
      </c>
    </row>
    <row r="23" spans="1:11" x14ac:dyDescent="0.25">
      <c r="A23" s="26" t="s">
        <v>49</v>
      </c>
      <c r="B23" s="27" t="s">
        <v>14</v>
      </c>
      <c r="C23" s="27" t="s">
        <v>24</v>
      </c>
      <c r="D23" s="27" t="s">
        <v>21</v>
      </c>
      <c r="E23" s="27">
        <v>388.56</v>
      </c>
      <c r="F23" s="27">
        <v>14</v>
      </c>
      <c r="G23" s="27">
        <v>0.15</v>
      </c>
      <c r="H23" s="28">
        <v>45416</v>
      </c>
      <c r="I23" s="27">
        <v>82.57</v>
      </c>
      <c r="J23" s="27">
        <f t="shared" si="0"/>
        <v>58.283999999999999</v>
      </c>
      <c r="K23" s="29">
        <f t="shared" ca="1" si="1"/>
        <v>46097.460787847223</v>
      </c>
    </row>
    <row r="24" spans="1:11" x14ac:dyDescent="0.25">
      <c r="A24" s="26" t="s">
        <v>9</v>
      </c>
      <c r="B24" s="27" t="s">
        <v>31</v>
      </c>
      <c r="C24" s="27" t="s">
        <v>11</v>
      </c>
      <c r="D24" s="27" t="s">
        <v>12</v>
      </c>
      <c r="E24" s="27">
        <v>743.17</v>
      </c>
      <c r="F24" s="27">
        <v>9</v>
      </c>
      <c r="G24" s="27">
        <v>0</v>
      </c>
      <c r="H24" s="28">
        <v>45416</v>
      </c>
      <c r="I24" s="27">
        <v>297.27</v>
      </c>
      <c r="J24" s="27">
        <f t="shared" si="0"/>
        <v>0</v>
      </c>
      <c r="K24" s="29">
        <f t="shared" ca="1" si="1"/>
        <v>46097.460787847223</v>
      </c>
    </row>
    <row r="25" spans="1:11" x14ac:dyDescent="0.25">
      <c r="A25" s="26" t="s">
        <v>40</v>
      </c>
      <c r="B25" s="27" t="s">
        <v>31</v>
      </c>
      <c r="C25" s="27" t="s">
        <v>34</v>
      </c>
      <c r="D25" s="27" t="s">
        <v>21</v>
      </c>
      <c r="E25" s="27">
        <v>706.37</v>
      </c>
      <c r="F25" s="27">
        <v>6</v>
      </c>
      <c r="G25" s="27">
        <v>0</v>
      </c>
      <c r="H25" s="28">
        <v>45416</v>
      </c>
      <c r="I25" s="27">
        <v>176.59</v>
      </c>
      <c r="J25" s="27">
        <f t="shared" si="0"/>
        <v>0</v>
      </c>
      <c r="K25" s="29">
        <f t="shared" ca="1" si="1"/>
        <v>46097.460787847223</v>
      </c>
    </row>
    <row r="26" spans="1:11" x14ac:dyDescent="0.25">
      <c r="A26" s="26" t="s">
        <v>13</v>
      </c>
      <c r="B26" s="27" t="s">
        <v>31</v>
      </c>
      <c r="C26" s="27" t="s">
        <v>34</v>
      </c>
      <c r="D26" s="27" t="s">
        <v>39</v>
      </c>
      <c r="E26" s="27">
        <v>925.31</v>
      </c>
      <c r="F26" s="27">
        <v>8</v>
      </c>
      <c r="G26" s="27">
        <v>0.1</v>
      </c>
      <c r="H26" s="28">
        <v>45418</v>
      </c>
      <c r="I26" s="27">
        <v>374.75</v>
      </c>
      <c r="J26" s="27">
        <f t="shared" si="0"/>
        <v>92.531000000000006</v>
      </c>
      <c r="K26" s="29">
        <f t="shared" ca="1" si="1"/>
        <v>46097.460787847223</v>
      </c>
    </row>
    <row r="27" spans="1:11" x14ac:dyDescent="0.25">
      <c r="A27" s="26" t="s">
        <v>35</v>
      </c>
      <c r="B27" s="27" t="s">
        <v>50</v>
      </c>
      <c r="C27" s="27" t="s">
        <v>20</v>
      </c>
      <c r="D27" s="27" t="s">
        <v>21</v>
      </c>
      <c r="E27" s="27">
        <v>1173.1199999999999</v>
      </c>
      <c r="F27" s="27">
        <v>18</v>
      </c>
      <c r="G27" s="27">
        <v>0</v>
      </c>
      <c r="H27" s="28">
        <v>45418</v>
      </c>
      <c r="I27" s="27">
        <v>293.27999999999997</v>
      </c>
      <c r="J27" s="27">
        <f t="shared" si="0"/>
        <v>0</v>
      </c>
      <c r="K27" s="29">
        <f t="shared" ca="1" si="1"/>
        <v>46097.460787847223</v>
      </c>
    </row>
    <row r="28" spans="1:11" x14ac:dyDescent="0.25">
      <c r="A28" s="26" t="s">
        <v>22</v>
      </c>
      <c r="B28" s="27" t="s">
        <v>51</v>
      </c>
      <c r="C28" s="27" t="s">
        <v>24</v>
      </c>
      <c r="D28" s="27" t="s">
        <v>27</v>
      </c>
      <c r="E28" s="27">
        <v>675.54</v>
      </c>
      <c r="F28" s="27">
        <v>17</v>
      </c>
      <c r="G28" s="27">
        <v>0</v>
      </c>
      <c r="H28" s="28">
        <v>45420</v>
      </c>
      <c r="I28" s="27">
        <v>236.44</v>
      </c>
      <c r="J28" s="27">
        <f t="shared" si="0"/>
        <v>0</v>
      </c>
      <c r="K28" s="29">
        <f t="shared" ca="1" si="1"/>
        <v>46097.460787847223</v>
      </c>
    </row>
    <row r="29" spans="1:11" x14ac:dyDescent="0.25">
      <c r="A29" s="26" t="s">
        <v>25</v>
      </c>
      <c r="B29" s="27" t="s">
        <v>14</v>
      </c>
      <c r="C29" s="27" t="s">
        <v>34</v>
      </c>
      <c r="D29" s="27" t="s">
        <v>12</v>
      </c>
      <c r="E29" s="27">
        <v>939.09</v>
      </c>
      <c r="F29" s="27">
        <v>2</v>
      </c>
      <c r="G29" s="27">
        <v>0.05</v>
      </c>
      <c r="H29" s="28">
        <v>45422</v>
      </c>
      <c r="I29" s="27">
        <v>356.85</v>
      </c>
      <c r="J29" s="27">
        <f t="shared" si="0"/>
        <v>46.954500000000003</v>
      </c>
      <c r="K29" s="29">
        <f t="shared" ca="1" si="1"/>
        <v>46097.460787847223</v>
      </c>
    </row>
    <row r="30" spans="1:11" x14ac:dyDescent="0.25">
      <c r="A30" s="26" t="s">
        <v>52</v>
      </c>
      <c r="B30" s="27" t="s">
        <v>53</v>
      </c>
      <c r="C30" s="27" t="s">
        <v>18</v>
      </c>
      <c r="D30" s="27" t="s">
        <v>39</v>
      </c>
      <c r="E30" s="27">
        <v>983.34</v>
      </c>
      <c r="F30" s="27">
        <v>19</v>
      </c>
      <c r="G30" s="27">
        <v>0.1</v>
      </c>
      <c r="H30" s="28">
        <v>45426</v>
      </c>
      <c r="I30" s="27">
        <v>398.25</v>
      </c>
      <c r="J30" s="27">
        <f t="shared" si="0"/>
        <v>98.334000000000003</v>
      </c>
      <c r="K30" s="29">
        <f t="shared" ca="1" si="1"/>
        <v>46097.460787847223</v>
      </c>
    </row>
    <row r="31" spans="1:11" x14ac:dyDescent="0.25">
      <c r="A31" s="26" t="s">
        <v>52</v>
      </c>
      <c r="B31" s="27" t="s">
        <v>23</v>
      </c>
      <c r="C31" s="27" t="s">
        <v>20</v>
      </c>
      <c r="D31" s="27" t="s">
        <v>21</v>
      </c>
      <c r="E31" s="27">
        <v>801.21</v>
      </c>
      <c r="F31" s="27">
        <v>3</v>
      </c>
      <c r="G31" s="27">
        <v>0.2</v>
      </c>
      <c r="H31" s="28">
        <v>45426</v>
      </c>
      <c r="I31" s="27">
        <v>160.24</v>
      </c>
      <c r="J31" s="27">
        <f t="shared" si="0"/>
        <v>160.24200000000002</v>
      </c>
      <c r="K31" s="29">
        <f t="shared" ca="1" si="1"/>
        <v>46097.460787847223</v>
      </c>
    </row>
    <row r="32" spans="1:11" x14ac:dyDescent="0.25">
      <c r="A32" s="26" t="s">
        <v>54</v>
      </c>
      <c r="B32" s="27" t="s">
        <v>55</v>
      </c>
      <c r="C32" s="27" t="s">
        <v>24</v>
      </c>
      <c r="D32" s="27" t="s">
        <v>21</v>
      </c>
      <c r="E32" s="27">
        <v>1450.71</v>
      </c>
      <c r="F32" s="27">
        <v>5</v>
      </c>
      <c r="G32" s="27">
        <v>0.1</v>
      </c>
      <c r="H32" s="28">
        <v>45427</v>
      </c>
      <c r="I32" s="27">
        <v>326.41000000000003</v>
      </c>
      <c r="J32" s="27">
        <f t="shared" si="0"/>
        <v>145.071</v>
      </c>
      <c r="K32" s="29">
        <f t="shared" ca="1" si="1"/>
        <v>46097.460787847223</v>
      </c>
    </row>
    <row r="33" spans="1:11" x14ac:dyDescent="0.25">
      <c r="A33" s="26" t="s">
        <v>49</v>
      </c>
      <c r="B33" s="27" t="s">
        <v>56</v>
      </c>
      <c r="C33" s="27" t="s">
        <v>34</v>
      </c>
      <c r="D33" s="27" t="s">
        <v>12</v>
      </c>
      <c r="E33" s="27">
        <v>1023.21</v>
      </c>
      <c r="F33" s="27">
        <v>18</v>
      </c>
      <c r="G33" s="27">
        <v>0.05</v>
      </c>
      <c r="H33" s="28">
        <v>45428</v>
      </c>
      <c r="I33" s="27">
        <v>388.82</v>
      </c>
      <c r="J33" s="27">
        <f t="shared" si="0"/>
        <v>51.160500000000006</v>
      </c>
      <c r="K33" s="29">
        <f t="shared" ca="1" si="1"/>
        <v>46097.460787847223</v>
      </c>
    </row>
    <row r="34" spans="1:11" x14ac:dyDescent="0.25">
      <c r="A34" s="26" t="s">
        <v>28</v>
      </c>
      <c r="B34" s="27" t="s">
        <v>47</v>
      </c>
      <c r="C34" s="27" t="s">
        <v>11</v>
      </c>
      <c r="D34" s="27" t="s">
        <v>27</v>
      </c>
      <c r="E34" s="27">
        <v>853.72</v>
      </c>
      <c r="F34" s="27">
        <v>5</v>
      </c>
      <c r="G34" s="27">
        <v>0.15</v>
      </c>
      <c r="H34" s="28">
        <v>45428</v>
      </c>
      <c r="I34" s="27">
        <v>253.98</v>
      </c>
      <c r="J34" s="27">
        <f t="shared" ref="J34:J65" si="2">E34*G34</f>
        <v>128.05799999999999</v>
      </c>
      <c r="K34" s="29">
        <f t="shared" ref="K34:K65" ca="1" si="3">NOW()</f>
        <v>46097.460787847223</v>
      </c>
    </row>
    <row r="35" spans="1:11" x14ac:dyDescent="0.25">
      <c r="A35" s="26" t="s">
        <v>57</v>
      </c>
      <c r="B35" s="27" t="s">
        <v>43</v>
      </c>
      <c r="C35" s="27" t="s">
        <v>20</v>
      </c>
      <c r="D35" s="27" t="s">
        <v>21</v>
      </c>
      <c r="E35" s="27">
        <v>967.89</v>
      </c>
      <c r="F35" s="27">
        <v>10</v>
      </c>
      <c r="G35" s="27">
        <v>0.1</v>
      </c>
      <c r="H35" s="28">
        <v>45429</v>
      </c>
      <c r="I35" s="27">
        <v>217.78</v>
      </c>
      <c r="J35" s="27">
        <f t="shared" si="2"/>
        <v>96.789000000000001</v>
      </c>
      <c r="K35" s="29">
        <f t="shared" ca="1" si="3"/>
        <v>46097.460787847223</v>
      </c>
    </row>
    <row r="36" spans="1:11" x14ac:dyDescent="0.25">
      <c r="A36" s="26" t="s">
        <v>58</v>
      </c>
      <c r="B36" s="27" t="s">
        <v>53</v>
      </c>
      <c r="C36" s="27" t="s">
        <v>24</v>
      </c>
      <c r="D36" s="27" t="s">
        <v>39</v>
      </c>
      <c r="E36" s="27">
        <v>1200.9000000000001</v>
      </c>
      <c r="F36" s="27">
        <v>14</v>
      </c>
      <c r="G36" s="27">
        <v>0.05</v>
      </c>
      <c r="H36" s="28">
        <v>45429</v>
      </c>
      <c r="I36" s="27">
        <v>513.38</v>
      </c>
      <c r="J36" s="27">
        <f t="shared" si="2"/>
        <v>60.045000000000009</v>
      </c>
      <c r="K36" s="29">
        <f t="shared" ca="1" si="3"/>
        <v>46097.460787847223</v>
      </c>
    </row>
    <row r="37" spans="1:11" x14ac:dyDescent="0.25">
      <c r="A37" s="26" t="s">
        <v>13</v>
      </c>
      <c r="B37" s="27" t="s">
        <v>26</v>
      </c>
      <c r="C37" s="27" t="s">
        <v>11</v>
      </c>
      <c r="D37" s="27" t="s">
        <v>12</v>
      </c>
      <c r="E37" s="27">
        <v>472.38</v>
      </c>
      <c r="F37" s="27">
        <v>12</v>
      </c>
      <c r="G37" s="27">
        <v>0.2</v>
      </c>
      <c r="H37" s="28">
        <v>45429</v>
      </c>
      <c r="I37" s="27">
        <v>151.16</v>
      </c>
      <c r="J37" s="27">
        <f t="shared" si="2"/>
        <v>94.475999999999999</v>
      </c>
      <c r="K37" s="29">
        <f t="shared" ca="1" si="3"/>
        <v>46097.460787847223</v>
      </c>
    </row>
    <row r="38" spans="1:11" x14ac:dyDescent="0.25">
      <c r="A38" s="26" t="s">
        <v>9</v>
      </c>
      <c r="B38" s="27" t="s">
        <v>55</v>
      </c>
      <c r="C38" s="27" t="s">
        <v>18</v>
      </c>
      <c r="D38" s="27" t="s">
        <v>39</v>
      </c>
      <c r="E38" s="27">
        <v>840.92</v>
      </c>
      <c r="F38" s="27">
        <v>9</v>
      </c>
      <c r="G38" s="27">
        <v>0.05</v>
      </c>
      <c r="H38" s="28">
        <v>45429</v>
      </c>
      <c r="I38" s="27">
        <v>359.49</v>
      </c>
      <c r="J38" s="27">
        <f t="shared" si="2"/>
        <v>42.045999999999999</v>
      </c>
      <c r="K38" s="29">
        <f t="shared" ca="1" si="3"/>
        <v>46097.460787847223</v>
      </c>
    </row>
    <row r="39" spans="1:11" x14ac:dyDescent="0.25">
      <c r="A39" s="26" t="s">
        <v>52</v>
      </c>
      <c r="B39" s="27" t="s">
        <v>48</v>
      </c>
      <c r="C39" s="27" t="s">
        <v>34</v>
      </c>
      <c r="D39" s="27" t="s">
        <v>27</v>
      </c>
      <c r="E39" s="27">
        <v>1410.06</v>
      </c>
      <c r="F39" s="27">
        <v>11</v>
      </c>
      <c r="G39" s="27">
        <v>0.05</v>
      </c>
      <c r="H39" s="28">
        <v>45434</v>
      </c>
      <c r="I39" s="27">
        <v>468.84</v>
      </c>
      <c r="J39" s="27">
        <f t="shared" si="2"/>
        <v>70.503</v>
      </c>
      <c r="K39" s="29">
        <f t="shared" ca="1" si="3"/>
        <v>46097.460787847223</v>
      </c>
    </row>
    <row r="40" spans="1:11" x14ac:dyDescent="0.25">
      <c r="A40" s="26" t="s">
        <v>44</v>
      </c>
      <c r="B40" s="27" t="s">
        <v>59</v>
      </c>
      <c r="C40" s="27" t="s">
        <v>34</v>
      </c>
      <c r="D40" s="27" t="s">
        <v>27</v>
      </c>
      <c r="E40" s="27">
        <v>773.09</v>
      </c>
      <c r="F40" s="27">
        <v>13</v>
      </c>
      <c r="G40" s="27">
        <v>0.15</v>
      </c>
      <c r="H40" s="28">
        <v>45434</v>
      </c>
      <c r="I40" s="27">
        <v>229.99</v>
      </c>
      <c r="J40" s="27">
        <f t="shared" si="2"/>
        <v>115.9635</v>
      </c>
      <c r="K40" s="29">
        <f t="shared" ca="1" si="3"/>
        <v>46097.460787847223</v>
      </c>
    </row>
    <row r="41" spans="1:11" x14ac:dyDescent="0.25">
      <c r="A41" s="26" t="s">
        <v>60</v>
      </c>
      <c r="B41" s="27" t="s">
        <v>61</v>
      </c>
      <c r="C41" s="27" t="s">
        <v>18</v>
      </c>
      <c r="D41" s="27" t="s">
        <v>12</v>
      </c>
      <c r="E41" s="27">
        <v>580.42999999999995</v>
      </c>
      <c r="F41" s="27">
        <v>19</v>
      </c>
      <c r="G41" s="27">
        <v>0.15</v>
      </c>
      <c r="H41" s="28">
        <v>45435</v>
      </c>
      <c r="I41" s="27">
        <v>197.35</v>
      </c>
      <c r="J41" s="27">
        <f t="shared" si="2"/>
        <v>87.064499999999995</v>
      </c>
      <c r="K41" s="29">
        <f t="shared" ca="1" si="3"/>
        <v>46097.460787847223</v>
      </c>
    </row>
    <row r="42" spans="1:11" x14ac:dyDescent="0.25">
      <c r="A42" s="26" t="s">
        <v>19</v>
      </c>
      <c r="B42" s="27" t="s">
        <v>42</v>
      </c>
      <c r="C42" s="27" t="s">
        <v>20</v>
      </c>
      <c r="D42" s="27" t="s">
        <v>12</v>
      </c>
      <c r="E42" s="27">
        <v>1151.21</v>
      </c>
      <c r="F42" s="27">
        <v>15</v>
      </c>
      <c r="G42" s="27">
        <v>0.1</v>
      </c>
      <c r="H42" s="28">
        <v>45445</v>
      </c>
      <c r="I42" s="27">
        <v>414.44</v>
      </c>
      <c r="J42" s="27">
        <f t="shared" si="2"/>
        <v>115.12100000000001</v>
      </c>
      <c r="K42" s="29">
        <f t="shared" ca="1" si="3"/>
        <v>46097.460787847223</v>
      </c>
    </row>
    <row r="43" spans="1:11" x14ac:dyDescent="0.25">
      <c r="A43" s="26" t="s">
        <v>52</v>
      </c>
      <c r="B43" s="27" t="s">
        <v>23</v>
      </c>
      <c r="C43" s="27" t="s">
        <v>34</v>
      </c>
      <c r="D43" s="27" t="s">
        <v>39</v>
      </c>
      <c r="E43" s="27">
        <v>1025.98</v>
      </c>
      <c r="F43" s="27">
        <v>5</v>
      </c>
      <c r="G43" s="27">
        <v>0.2</v>
      </c>
      <c r="H43" s="28">
        <v>45447</v>
      </c>
      <c r="I43" s="27">
        <v>369.35</v>
      </c>
      <c r="J43" s="27">
        <f t="shared" si="2"/>
        <v>205.19600000000003</v>
      </c>
      <c r="K43" s="29">
        <f t="shared" ca="1" si="3"/>
        <v>46097.460787847223</v>
      </c>
    </row>
    <row r="44" spans="1:11" x14ac:dyDescent="0.25">
      <c r="A44" s="26" t="s">
        <v>40</v>
      </c>
      <c r="B44" s="27" t="s">
        <v>56</v>
      </c>
      <c r="C44" s="27" t="s">
        <v>18</v>
      </c>
      <c r="D44" s="27" t="s">
        <v>39</v>
      </c>
      <c r="E44" s="27">
        <v>556.41999999999996</v>
      </c>
      <c r="F44" s="27">
        <v>11</v>
      </c>
      <c r="G44" s="27">
        <v>0.15</v>
      </c>
      <c r="H44" s="28">
        <v>45447</v>
      </c>
      <c r="I44" s="27">
        <v>212.83</v>
      </c>
      <c r="J44" s="27">
        <f t="shared" si="2"/>
        <v>83.462999999999994</v>
      </c>
      <c r="K44" s="29">
        <f t="shared" ca="1" si="3"/>
        <v>46097.460787847223</v>
      </c>
    </row>
    <row r="45" spans="1:11" x14ac:dyDescent="0.25">
      <c r="A45" s="26" t="s">
        <v>57</v>
      </c>
      <c r="B45" s="27" t="s">
        <v>23</v>
      </c>
      <c r="C45" s="27" t="s">
        <v>34</v>
      </c>
      <c r="D45" s="27" t="s">
        <v>12</v>
      </c>
      <c r="E45" s="27">
        <v>840.85</v>
      </c>
      <c r="F45" s="27">
        <v>19</v>
      </c>
      <c r="G45" s="27">
        <v>0.1</v>
      </c>
      <c r="H45" s="28">
        <v>45448</v>
      </c>
      <c r="I45" s="27">
        <v>302.70999999999998</v>
      </c>
      <c r="J45" s="27">
        <f t="shared" si="2"/>
        <v>84.085000000000008</v>
      </c>
      <c r="K45" s="29">
        <f t="shared" ca="1" si="3"/>
        <v>46097.460787847223</v>
      </c>
    </row>
    <row r="46" spans="1:11" x14ac:dyDescent="0.25">
      <c r="A46" s="26" t="s">
        <v>30</v>
      </c>
      <c r="B46" s="27" t="s">
        <v>61</v>
      </c>
      <c r="C46" s="27" t="s">
        <v>24</v>
      </c>
      <c r="D46" s="27" t="s">
        <v>27</v>
      </c>
      <c r="E46" s="27">
        <v>1227.25</v>
      </c>
      <c r="F46" s="27">
        <v>12</v>
      </c>
      <c r="G46" s="27">
        <v>0.15</v>
      </c>
      <c r="H46" s="28">
        <v>45448</v>
      </c>
      <c r="I46" s="27">
        <v>365.11</v>
      </c>
      <c r="J46" s="27">
        <f t="shared" si="2"/>
        <v>184.08750000000001</v>
      </c>
      <c r="K46" s="29">
        <f t="shared" ca="1" si="3"/>
        <v>46097.460787847223</v>
      </c>
    </row>
    <row r="47" spans="1:11" x14ac:dyDescent="0.25">
      <c r="A47" s="26" t="s">
        <v>16</v>
      </c>
      <c r="B47" s="27" t="s">
        <v>62</v>
      </c>
      <c r="C47" s="27" t="s">
        <v>34</v>
      </c>
      <c r="D47" s="27" t="s">
        <v>21</v>
      </c>
      <c r="E47" s="27">
        <v>856.7</v>
      </c>
      <c r="F47" s="27">
        <v>2</v>
      </c>
      <c r="G47" s="27">
        <v>0</v>
      </c>
      <c r="H47" s="28">
        <v>45449</v>
      </c>
      <c r="I47" s="27">
        <v>214.18</v>
      </c>
      <c r="J47" s="27">
        <f t="shared" si="2"/>
        <v>0</v>
      </c>
      <c r="K47" s="29">
        <f t="shared" ca="1" si="3"/>
        <v>46097.460787847223</v>
      </c>
    </row>
    <row r="48" spans="1:11" x14ac:dyDescent="0.25">
      <c r="A48" s="26" t="s">
        <v>54</v>
      </c>
      <c r="B48" s="27" t="s">
        <v>56</v>
      </c>
      <c r="C48" s="27" t="s">
        <v>34</v>
      </c>
      <c r="D48" s="27" t="s">
        <v>39</v>
      </c>
      <c r="E48" s="27">
        <v>1225.42</v>
      </c>
      <c r="F48" s="27">
        <v>8</v>
      </c>
      <c r="G48" s="27">
        <v>0.15</v>
      </c>
      <c r="H48" s="28">
        <v>45449</v>
      </c>
      <c r="I48" s="27">
        <v>468.72</v>
      </c>
      <c r="J48" s="27">
        <f t="shared" si="2"/>
        <v>183.81300000000002</v>
      </c>
      <c r="K48" s="29">
        <f t="shared" ca="1" si="3"/>
        <v>46097.460787847223</v>
      </c>
    </row>
    <row r="49" spans="1:11" x14ac:dyDescent="0.25">
      <c r="A49" s="26" t="s">
        <v>63</v>
      </c>
      <c r="B49" s="27" t="s">
        <v>31</v>
      </c>
      <c r="C49" s="27" t="s">
        <v>24</v>
      </c>
      <c r="D49" s="27" t="s">
        <v>39</v>
      </c>
      <c r="E49" s="27">
        <v>1001.57</v>
      </c>
      <c r="F49" s="27">
        <v>12</v>
      </c>
      <c r="G49" s="27">
        <v>0</v>
      </c>
      <c r="H49" s="28">
        <v>45450</v>
      </c>
      <c r="I49" s="27">
        <v>450.71</v>
      </c>
      <c r="J49" s="27">
        <f t="shared" si="2"/>
        <v>0</v>
      </c>
      <c r="K49" s="29">
        <f t="shared" ca="1" si="3"/>
        <v>46097.460787847223</v>
      </c>
    </row>
    <row r="50" spans="1:11" x14ac:dyDescent="0.25">
      <c r="A50" s="26" t="s">
        <v>57</v>
      </c>
      <c r="B50" s="27" t="s">
        <v>26</v>
      </c>
      <c r="C50" s="27" t="s">
        <v>18</v>
      </c>
      <c r="D50" s="27" t="s">
        <v>27</v>
      </c>
      <c r="E50" s="27">
        <v>1186.8499999999999</v>
      </c>
      <c r="F50" s="27">
        <v>19</v>
      </c>
      <c r="G50" s="27">
        <v>0.2</v>
      </c>
      <c r="H50" s="28">
        <v>45451</v>
      </c>
      <c r="I50" s="27">
        <v>332.32</v>
      </c>
      <c r="J50" s="27">
        <f t="shared" si="2"/>
        <v>237.37</v>
      </c>
      <c r="K50" s="29">
        <f t="shared" ca="1" si="3"/>
        <v>46097.460787847223</v>
      </c>
    </row>
    <row r="51" spans="1:11" x14ac:dyDescent="0.25">
      <c r="A51" s="26" t="s">
        <v>44</v>
      </c>
      <c r="B51" s="27" t="s">
        <v>51</v>
      </c>
      <c r="C51" s="27" t="s">
        <v>20</v>
      </c>
      <c r="D51" s="27" t="s">
        <v>21</v>
      </c>
      <c r="E51" s="27">
        <v>775.45</v>
      </c>
      <c r="F51" s="27">
        <v>6</v>
      </c>
      <c r="G51" s="27">
        <v>0.1</v>
      </c>
      <c r="H51" s="28">
        <v>45457</v>
      </c>
      <c r="I51" s="27">
        <v>174.48</v>
      </c>
      <c r="J51" s="27">
        <f t="shared" si="2"/>
        <v>77.545000000000016</v>
      </c>
      <c r="K51" s="29">
        <f t="shared" ca="1" si="3"/>
        <v>46097.460787847223</v>
      </c>
    </row>
    <row r="52" spans="1:11" x14ac:dyDescent="0.25">
      <c r="A52" s="26" t="s">
        <v>25</v>
      </c>
      <c r="B52" s="27" t="s">
        <v>33</v>
      </c>
      <c r="C52" s="27" t="s">
        <v>20</v>
      </c>
      <c r="D52" s="27" t="s">
        <v>21</v>
      </c>
      <c r="E52" s="27">
        <v>1021.47</v>
      </c>
      <c r="F52" s="27">
        <v>6</v>
      </c>
      <c r="G52" s="27">
        <v>0.05</v>
      </c>
      <c r="H52" s="28">
        <v>45461</v>
      </c>
      <c r="I52" s="27">
        <v>242.6</v>
      </c>
      <c r="J52" s="27">
        <f t="shared" si="2"/>
        <v>51.073500000000003</v>
      </c>
      <c r="K52" s="29">
        <f t="shared" ca="1" si="3"/>
        <v>46097.460787847223</v>
      </c>
    </row>
    <row r="53" spans="1:11" x14ac:dyDescent="0.25">
      <c r="A53" s="26" t="s">
        <v>58</v>
      </c>
      <c r="B53" s="27" t="s">
        <v>23</v>
      </c>
      <c r="C53" s="27" t="s">
        <v>20</v>
      </c>
      <c r="D53" s="27" t="s">
        <v>15</v>
      </c>
      <c r="E53" s="27">
        <v>1226.6199999999999</v>
      </c>
      <c r="F53" s="27">
        <v>7</v>
      </c>
      <c r="G53" s="27">
        <v>0.1</v>
      </c>
      <c r="H53" s="28">
        <v>45463</v>
      </c>
      <c r="I53" s="27">
        <v>551.98</v>
      </c>
      <c r="J53" s="27">
        <f t="shared" si="2"/>
        <v>122.66199999999999</v>
      </c>
      <c r="K53" s="29">
        <f t="shared" ca="1" si="3"/>
        <v>46097.460787847223</v>
      </c>
    </row>
    <row r="54" spans="1:11" x14ac:dyDescent="0.25">
      <c r="A54" s="26" t="s">
        <v>22</v>
      </c>
      <c r="B54" s="27" t="s">
        <v>64</v>
      </c>
      <c r="C54" s="27" t="s">
        <v>20</v>
      </c>
      <c r="D54" s="27" t="s">
        <v>27</v>
      </c>
      <c r="E54" s="27">
        <v>1086.93</v>
      </c>
      <c r="F54" s="27">
        <v>2</v>
      </c>
      <c r="G54" s="27">
        <v>0</v>
      </c>
      <c r="H54" s="28">
        <v>45464</v>
      </c>
      <c r="I54" s="27">
        <v>380.43</v>
      </c>
      <c r="J54" s="27">
        <f t="shared" si="2"/>
        <v>0</v>
      </c>
      <c r="K54" s="29">
        <f t="shared" ca="1" si="3"/>
        <v>46097.460787847223</v>
      </c>
    </row>
    <row r="55" spans="1:11" x14ac:dyDescent="0.25">
      <c r="A55" s="26" t="s">
        <v>65</v>
      </c>
      <c r="B55" s="27" t="s">
        <v>48</v>
      </c>
      <c r="C55" s="27" t="s">
        <v>11</v>
      </c>
      <c r="D55" s="27" t="s">
        <v>12</v>
      </c>
      <c r="E55" s="27">
        <v>942.9</v>
      </c>
      <c r="F55" s="27">
        <v>18</v>
      </c>
      <c r="G55" s="27">
        <v>0.1</v>
      </c>
      <c r="H55" s="28">
        <v>45466</v>
      </c>
      <c r="I55" s="27">
        <v>339.44</v>
      </c>
      <c r="J55" s="27">
        <f t="shared" si="2"/>
        <v>94.29</v>
      </c>
      <c r="K55" s="29">
        <f t="shared" ca="1" si="3"/>
        <v>46097.460787847223</v>
      </c>
    </row>
    <row r="56" spans="1:11" x14ac:dyDescent="0.25">
      <c r="A56" s="26" t="s">
        <v>32</v>
      </c>
      <c r="B56" s="27" t="s">
        <v>38</v>
      </c>
      <c r="C56" s="27" t="s">
        <v>24</v>
      </c>
      <c r="D56" s="27" t="s">
        <v>21</v>
      </c>
      <c r="E56" s="27">
        <v>818.8</v>
      </c>
      <c r="F56" s="27">
        <v>15</v>
      </c>
      <c r="G56" s="27">
        <v>0.15</v>
      </c>
      <c r="H56" s="28">
        <v>45468</v>
      </c>
      <c r="I56" s="27">
        <v>173.99</v>
      </c>
      <c r="J56" s="27">
        <f t="shared" si="2"/>
        <v>122.82</v>
      </c>
      <c r="K56" s="29">
        <f t="shared" ca="1" si="3"/>
        <v>46097.460787847223</v>
      </c>
    </row>
    <row r="57" spans="1:11" x14ac:dyDescent="0.25">
      <c r="A57" s="26" t="s">
        <v>19</v>
      </c>
      <c r="B57" s="27" t="s">
        <v>14</v>
      </c>
      <c r="C57" s="27" t="s">
        <v>20</v>
      </c>
      <c r="D57" s="27" t="s">
        <v>27</v>
      </c>
      <c r="E57" s="27">
        <v>919.04</v>
      </c>
      <c r="F57" s="27">
        <v>10</v>
      </c>
      <c r="G57" s="27">
        <v>0.2</v>
      </c>
      <c r="H57" s="28">
        <v>45468</v>
      </c>
      <c r="I57" s="27">
        <v>257.33</v>
      </c>
      <c r="J57" s="27">
        <f t="shared" si="2"/>
        <v>183.80799999999999</v>
      </c>
      <c r="K57" s="29">
        <f t="shared" ca="1" si="3"/>
        <v>46097.460787847223</v>
      </c>
    </row>
    <row r="58" spans="1:11" x14ac:dyDescent="0.25">
      <c r="A58" s="26" t="s">
        <v>22</v>
      </c>
      <c r="B58" s="27" t="s">
        <v>66</v>
      </c>
      <c r="C58" s="27" t="s">
        <v>34</v>
      </c>
      <c r="D58" s="27" t="s">
        <v>12</v>
      </c>
      <c r="E58" s="27">
        <v>973.26</v>
      </c>
      <c r="F58" s="27">
        <v>11</v>
      </c>
      <c r="G58" s="27">
        <v>0</v>
      </c>
      <c r="H58" s="28">
        <v>45470</v>
      </c>
      <c r="I58" s="27">
        <v>389.3</v>
      </c>
      <c r="J58" s="27">
        <f t="shared" si="2"/>
        <v>0</v>
      </c>
      <c r="K58" s="29">
        <f t="shared" ca="1" si="3"/>
        <v>46097.460787847223</v>
      </c>
    </row>
    <row r="59" spans="1:11" x14ac:dyDescent="0.25">
      <c r="A59" s="26" t="s">
        <v>41</v>
      </c>
      <c r="B59" s="27" t="s">
        <v>64</v>
      </c>
      <c r="C59" s="27" t="s">
        <v>24</v>
      </c>
      <c r="D59" s="27" t="s">
        <v>21</v>
      </c>
      <c r="E59" s="27">
        <v>741.61</v>
      </c>
      <c r="F59" s="27">
        <v>1</v>
      </c>
      <c r="G59" s="27">
        <v>0.2</v>
      </c>
      <c r="H59" s="28">
        <v>45471</v>
      </c>
      <c r="I59" s="27">
        <v>148.32</v>
      </c>
      <c r="J59" s="27">
        <f t="shared" si="2"/>
        <v>148.322</v>
      </c>
      <c r="K59" s="29">
        <f t="shared" ca="1" si="3"/>
        <v>46097.460787847223</v>
      </c>
    </row>
    <row r="60" spans="1:11" x14ac:dyDescent="0.25">
      <c r="A60" s="26" t="s">
        <v>67</v>
      </c>
      <c r="B60" s="27" t="s">
        <v>38</v>
      </c>
      <c r="C60" s="27" t="s">
        <v>24</v>
      </c>
      <c r="D60" s="27" t="s">
        <v>12</v>
      </c>
      <c r="E60" s="27">
        <v>1248.82</v>
      </c>
      <c r="F60" s="27">
        <v>2</v>
      </c>
      <c r="G60" s="27">
        <v>0.1</v>
      </c>
      <c r="H60" s="28">
        <v>45473</v>
      </c>
      <c r="I60" s="27">
        <v>449.58</v>
      </c>
      <c r="J60" s="27">
        <f t="shared" si="2"/>
        <v>124.88200000000001</v>
      </c>
      <c r="K60" s="29">
        <f t="shared" ca="1" si="3"/>
        <v>46097.460787847223</v>
      </c>
    </row>
    <row r="61" spans="1:11" x14ac:dyDescent="0.25">
      <c r="A61" s="26" t="s">
        <v>13</v>
      </c>
      <c r="B61" s="27" t="s">
        <v>59</v>
      </c>
      <c r="C61" s="27" t="s">
        <v>11</v>
      </c>
      <c r="D61" s="27" t="s">
        <v>15</v>
      </c>
      <c r="E61" s="27">
        <v>1360.36</v>
      </c>
      <c r="F61" s="27">
        <v>17</v>
      </c>
      <c r="G61" s="27">
        <v>0</v>
      </c>
      <c r="H61" s="28">
        <v>45473</v>
      </c>
      <c r="I61" s="27">
        <v>680.18</v>
      </c>
      <c r="J61" s="27">
        <f t="shared" si="2"/>
        <v>0</v>
      </c>
      <c r="K61" s="29">
        <f t="shared" ca="1" si="3"/>
        <v>46097.460787847223</v>
      </c>
    </row>
    <row r="62" spans="1:11" x14ac:dyDescent="0.25">
      <c r="A62" s="26" t="s">
        <v>57</v>
      </c>
      <c r="B62" s="27" t="s">
        <v>31</v>
      </c>
      <c r="C62" s="27" t="s">
        <v>18</v>
      </c>
      <c r="D62" s="27" t="s">
        <v>12</v>
      </c>
      <c r="E62" s="27">
        <v>1383.3</v>
      </c>
      <c r="F62" s="27">
        <v>8</v>
      </c>
      <c r="G62" s="27">
        <v>0.1</v>
      </c>
      <c r="H62" s="28">
        <v>45478</v>
      </c>
      <c r="I62" s="27">
        <v>497.99</v>
      </c>
      <c r="J62" s="27">
        <f t="shared" si="2"/>
        <v>138.33000000000001</v>
      </c>
      <c r="K62" s="29">
        <f t="shared" ca="1" si="3"/>
        <v>46097.460787847223</v>
      </c>
    </row>
    <row r="63" spans="1:11" x14ac:dyDescent="0.25">
      <c r="A63" s="26" t="s">
        <v>35</v>
      </c>
      <c r="B63" s="27" t="s">
        <v>55</v>
      </c>
      <c r="C63" s="27" t="s">
        <v>34</v>
      </c>
      <c r="D63" s="27" t="s">
        <v>39</v>
      </c>
      <c r="E63" s="27">
        <v>488.99</v>
      </c>
      <c r="F63" s="27">
        <v>9</v>
      </c>
      <c r="G63" s="27">
        <v>0</v>
      </c>
      <c r="H63" s="28">
        <v>45479</v>
      </c>
      <c r="I63" s="27">
        <v>220.05</v>
      </c>
      <c r="J63" s="27">
        <f t="shared" si="2"/>
        <v>0</v>
      </c>
      <c r="K63" s="29">
        <f t="shared" ca="1" si="3"/>
        <v>46097.460787847223</v>
      </c>
    </row>
    <row r="64" spans="1:11" x14ac:dyDescent="0.25">
      <c r="A64" s="26" t="s">
        <v>30</v>
      </c>
      <c r="B64" s="27" t="s">
        <v>31</v>
      </c>
      <c r="C64" s="27" t="s">
        <v>18</v>
      </c>
      <c r="D64" s="27" t="s">
        <v>27</v>
      </c>
      <c r="E64" s="27">
        <v>933.71</v>
      </c>
      <c r="F64" s="27">
        <v>17</v>
      </c>
      <c r="G64" s="27">
        <v>0.1</v>
      </c>
      <c r="H64" s="28">
        <v>45481</v>
      </c>
      <c r="I64" s="27">
        <v>294.12</v>
      </c>
      <c r="J64" s="27">
        <f t="shared" si="2"/>
        <v>93.371000000000009</v>
      </c>
      <c r="K64" s="29">
        <f t="shared" ca="1" si="3"/>
        <v>46097.460787847223</v>
      </c>
    </row>
    <row r="65" spans="1:11" x14ac:dyDescent="0.25">
      <c r="A65" s="26" t="s">
        <v>67</v>
      </c>
      <c r="B65" s="27" t="s">
        <v>10</v>
      </c>
      <c r="C65" s="27" t="s">
        <v>11</v>
      </c>
      <c r="D65" s="27" t="s">
        <v>21</v>
      </c>
      <c r="E65" s="27">
        <v>1005.53</v>
      </c>
      <c r="F65" s="27">
        <v>17</v>
      </c>
      <c r="G65" s="27">
        <v>0.2</v>
      </c>
      <c r="H65" s="28">
        <v>45481</v>
      </c>
      <c r="I65" s="27">
        <v>201.11</v>
      </c>
      <c r="J65" s="27">
        <f t="shared" si="2"/>
        <v>201.10599999999999</v>
      </c>
      <c r="K65" s="29">
        <f t="shared" ca="1" si="3"/>
        <v>46097.460787847223</v>
      </c>
    </row>
    <row r="66" spans="1:11" x14ac:dyDescent="0.25">
      <c r="A66" s="26" t="s">
        <v>41</v>
      </c>
      <c r="B66" s="27" t="s">
        <v>61</v>
      </c>
      <c r="C66" s="27" t="s">
        <v>20</v>
      </c>
      <c r="D66" s="27" t="s">
        <v>21</v>
      </c>
      <c r="E66" s="27">
        <v>1100.0999999999999</v>
      </c>
      <c r="F66" s="27">
        <v>5</v>
      </c>
      <c r="G66" s="27">
        <v>0.05</v>
      </c>
      <c r="H66" s="28">
        <v>45482</v>
      </c>
      <c r="I66" s="27">
        <v>261.27</v>
      </c>
      <c r="J66" s="27">
        <f t="shared" ref="J66:J97" si="4">E66*G66</f>
        <v>55.004999999999995</v>
      </c>
      <c r="K66" s="29">
        <f t="shared" ref="K66:K97" ca="1" si="5">NOW()</f>
        <v>46097.460787847223</v>
      </c>
    </row>
    <row r="67" spans="1:11" x14ac:dyDescent="0.25">
      <c r="A67" s="26" t="s">
        <v>67</v>
      </c>
      <c r="B67" s="27" t="s">
        <v>23</v>
      </c>
      <c r="C67" s="27" t="s">
        <v>24</v>
      </c>
      <c r="D67" s="27" t="s">
        <v>27</v>
      </c>
      <c r="E67" s="27">
        <v>1034.7</v>
      </c>
      <c r="F67" s="27">
        <v>15</v>
      </c>
      <c r="G67" s="27">
        <v>0.15</v>
      </c>
      <c r="H67" s="28">
        <v>45487</v>
      </c>
      <c r="I67" s="27">
        <v>307.82</v>
      </c>
      <c r="J67" s="27">
        <f t="shared" si="4"/>
        <v>155.20500000000001</v>
      </c>
      <c r="K67" s="29">
        <f t="shared" ca="1" si="5"/>
        <v>46097.460787847223</v>
      </c>
    </row>
    <row r="68" spans="1:11" x14ac:dyDescent="0.25">
      <c r="A68" s="26" t="s">
        <v>65</v>
      </c>
      <c r="B68" s="27" t="s">
        <v>31</v>
      </c>
      <c r="C68" s="27" t="s">
        <v>20</v>
      </c>
      <c r="D68" s="27" t="s">
        <v>12</v>
      </c>
      <c r="E68" s="27">
        <v>876.44</v>
      </c>
      <c r="F68" s="27">
        <v>12</v>
      </c>
      <c r="G68" s="27">
        <v>0.05</v>
      </c>
      <c r="H68" s="28">
        <v>45488</v>
      </c>
      <c r="I68" s="27">
        <v>333.05</v>
      </c>
      <c r="J68" s="27">
        <f t="shared" si="4"/>
        <v>43.822000000000003</v>
      </c>
      <c r="K68" s="29">
        <f t="shared" ca="1" si="5"/>
        <v>46097.460787847223</v>
      </c>
    </row>
    <row r="69" spans="1:11" x14ac:dyDescent="0.25">
      <c r="A69" s="26" t="s">
        <v>68</v>
      </c>
      <c r="B69" s="27" t="s">
        <v>55</v>
      </c>
      <c r="C69" s="27" t="s">
        <v>11</v>
      </c>
      <c r="D69" s="27" t="s">
        <v>27</v>
      </c>
      <c r="E69" s="27">
        <v>1371.34</v>
      </c>
      <c r="F69" s="27">
        <v>5</v>
      </c>
      <c r="G69" s="27">
        <v>0.05</v>
      </c>
      <c r="H69" s="28">
        <v>45488</v>
      </c>
      <c r="I69" s="27">
        <v>455.97</v>
      </c>
      <c r="J69" s="27">
        <f t="shared" si="4"/>
        <v>68.566999999999993</v>
      </c>
      <c r="K69" s="29">
        <f t="shared" ca="1" si="5"/>
        <v>46097.460787847223</v>
      </c>
    </row>
    <row r="70" spans="1:11" x14ac:dyDescent="0.25">
      <c r="A70" s="26" t="s">
        <v>57</v>
      </c>
      <c r="B70" s="27" t="s">
        <v>47</v>
      </c>
      <c r="C70" s="27" t="s">
        <v>24</v>
      </c>
      <c r="D70" s="27" t="s">
        <v>21</v>
      </c>
      <c r="E70" s="27">
        <v>1020.26</v>
      </c>
      <c r="F70" s="27">
        <v>11</v>
      </c>
      <c r="G70" s="27">
        <v>0.05</v>
      </c>
      <c r="H70" s="28">
        <v>45494</v>
      </c>
      <c r="I70" s="27">
        <v>242.31</v>
      </c>
      <c r="J70" s="27">
        <f t="shared" si="4"/>
        <v>51.013000000000005</v>
      </c>
      <c r="K70" s="29">
        <f t="shared" ca="1" si="5"/>
        <v>46097.460787847223</v>
      </c>
    </row>
    <row r="71" spans="1:11" x14ac:dyDescent="0.25">
      <c r="A71" s="26" t="s">
        <v>44</v>
      </c>
      <c r="B71" s="27" t="s">
        <v>10</v>
      </c>
      <c r="C71" s="27" t="s">
        <v>34</v>
      </c>
      <c r="D71" s="27" t="s">
        <v>39</v>
      </c>
      <c r="E71" s="27">
        <v>804.81</v>
      </c>
      <c r="F71" s="27">
        <v>1</v>
      </c>
      <c r="G71" s="27">
        <v>0.05</v>
      </c>
      <c r="H71" s="28">
        <v>45502</v>
      </c>
      <c r="I71" s="27">
        <v>344.06</v>
      </c>
      <c r="J71" s="27">
        <f t="shared" si="4"/>
        <v>40.240499999999997</v>
      </c>
      <c r="K71" s="29">
        <f t="shared" ca="1" si="5"/>
        <v>46097.460787847223</v>
      </c>
    </row>
    <row r="72" spans="1:11" x14ac:dyDescent="0.25">
      <c r="A72" s="26" t="s">
        <v>22</v>
      </c>
      <c r="B72" s="27" t="s">
        <v>55</v>
      </c>
      <c r="C72" s="27" t="s">
        <v>34</v>
      </c>
      <c r="D72" s="27" t="s">
        <v>21</v>
      </c>
      <c r="E72" s="27">
        <v>608.66</v>
      </c>
      <c r="F72" s="27">
        <v>1</v>
      </c>
      <c r="G72" s="27">
        <v>0.05</v>
      </c>
      <c r="H72" s="28">
        <v>45503</v>
      </c>
      <c r="I72" s="27">
        <v>144.56</v>
      </c>
      <c r="J72" s="27">
        <f t="shared" si="4"/>
        <v>30.433</v>
      </c>
      <c r="K72" s="29">
        <f t="shared" ca="1" si="5"/>
        <v>46097.460787847223</v>
      </c>
    </row>
    <row r="73" spans="1:11" x14ac:dyDescent="0.25">
      <c r="A73" s="26" t="s">
        <v>68</v>
      </c>
      <c r="B73" s="27" t="s">
        <v>69</v>
      </c>
      <c r="C73" s="27" t="s">
        <v>20</v>
      </c>
      <c r="D73" s="27" t="s">
        <v>39</v>
      </c>
      <c r="E73" s="27">
        <v>981.2</v>
      </c>
      <c r="F73" s="27">
        <v>19</v>
      </c>
      <c r="G73" s="27">
        <v>0</v>
      </c>
      <c r="H73" s="28">
        <v>45504</v>
      </c>
      <c r="I73" s="27">
        <v>441.54</v>
      </c>
      <c r="J73" s="27">
        <f t="shared" si="4"/>
        <v>0</v>
      </c>
      <c r="K73" s="29">
        <f t="shared" ca="1" si="5"/>
        <v>46097.460787847223</v>
      </c>
    </row>
    <row r="74" spans="1:11" x14ac:dyDescent="0.25">
      <c r="A74" s="26" t="s">
        <v>70</v>
      </c>
      <c r="B74" s="27" t="s">
        <v>55</v>
      </c>
      <c r="C74" s="27" t="s">
        <v>18</v>
      </c>
      <c r="D74" s="27" t="s">
        <v>21</v>
      </c>
      <c r="E74" s="27">
        <v>539.77</v>
      </c>
      <c r="F74" s="27">
        <v>10</v>
      </c>
      <c r="G74" s="27">
        <v>0.15</v>
      </c>
      <c r="H74" s="28">
        <v>45509</v>
      </c>
      <c r="I74" s="27">
        <v>114.7</v>
      </c>
      <c r="J74" s="27">
        <f t="shared" si="4"/>
        <v>80.965499999999992</v>
      </c>
      <c r="K74" s="29">
        <f t="shared" ca="1" si="5"/>
        <v>46097.460787847223</v>
      </c>
    </row>
    <row r="75" spans="1:11" x14ac:dyDescent="0.25">
      <c r="A75" s="26" t="s">
        <v>13</v>
      </c>
      <c r="B75" s="27" t="s">
        <v>71</v>
      </c>
      <c r="C75" s="27" t="s">
        <v>20</v>
      </c>
      <c r="D75" s="27" t="s">
        <v>12</v>
      </c>
      <c r="E75" s="27">
        <v>804.45</v>
      </c>
      <c r="F75" s="27">
        <v>5</v>
      </c>
      <c r="G75" s="27">
        <v>0.2</v>
      </c>
      <c r="H75" s="28">
        <v>45509</v>
      </c>
      <c r="I75" s="27">
        <v>257.42</v>
      </c>
      <c r="J75" s="27">
        <f t="shared" si="4"/>
        <v>160.89000000000001</v>
      </c>
      <c r="K75" s="29">
        <f t="shared" ca="1" si="5"/>
        <v>46097.460787847223</v>
      </c>
    </row>
    <row r="76" spans="1:11" x14ac:dyDescent="0.25">
      <c r="A76" s="26" t="s">
        <v>70</v>
      </c>
      <c r="B76" s="27" t="s">
        <v>38</v>
      </c>
      <c r="C76" s="27" t="s">
        <v>11</v>
      </c>
      <c r="D76" s="27" t="s">
        <v>21</v>
      </c>
      <c r="E76" s="27">
        <v>1526.6</v>
      </c>
      <c r="F76" s="27">
        <v>13</v>
      </c>
      <c r="G76" s="27">
        <v>0.2</v>
      </c>
      <c r="H76" s="28">
        <v>45512</v>
      </c>
      <c r="I76" s="27">
        <v>305.32</v>
      </c>
      <c r="J76" s="27">
        <f t="shared" si="4"/>
        <v>305.32</v>
      </c>
      <c r="K76" s="29">
        <f t="shared" ca="1" si="5"/>
        <v>46097.460787847223</v>
      </c>
    </row>
    <row r="77" spans="1:11" x14ac:dyDescent="0.25">
      <c r="A77" s="26" t="s">
        <v>13</v>
      </c>
      <c r="B77" s="27" t="s">
        <v>29</v>
      </c>
      <c r="C77" s="27" t="s">
        <v>11</v>
      </c>
      <c r="D77" s="27" t="s">
        <v>21</v>
      </c>
      <c r="E77" s="27">
        <v>1215.26</v>
      </c>
      <c r="F77" s="27">
        <v>5</v>
      </c>
      <c r="G77" s="27">
        <v>0.15</v>
      </c>
      <c r="H77" s="28">
        <v>45513</v>
      </c>
      <c r="I77" s="27">
        <v>258.24</v>
      </c>
      <c r="J77" s="27">
        <f t="shared" si="4"/>
        <v>182.28899999999999</v>
      </c>
      <c r="K77" s="29">
        <f t="shared" ca="1" si="5"/>
        <v>46097.460787847223</v>
      </c>
    </row>
    <row r="78" spans="1:11" x14ac:dyDescent="0.25">
      <c r="A78" s="26" t="s">
        <v>19</v>
      </c>
      <c r="B78" s="27" t="s">
        <v>53</v>
      </c>
      <c r="C78" s="27" t="s">
        <v>34</v>
      </c>
      <c r="D78" s="27" t="s">
        <v>27</v>
      </c>
      <c r="E78" s="27">
        <v>1261.3399999999999</v>
      </c>
      <c r="F78" s="27">
        <v>3</v>
      </c>
      <c r="G78" s="27">
        <v>0</v>
      </c>
      <c r="H78" s="28">
        <v>45519</v>
      </c>
      <c r="I78" s="27">
        <v>441.47</v>
      </c>
      <c r="J78" s="27">
        <f t="shared" si="4"/>
        <v>0</v>
      </c>
      <c r="K78" s="29">
        <f t="shared" ca="1" si="5"/>
        <v>46097.460787847223</v>
      </c>
    </row>
    <row r="79" spans="1:11" x14ac:dyDescent="0.25">
      <c r="A79" s="26" t="s">
        <v>72</v>
      </c>
      <c r="B79" s="27" t="s">
        <v>45</v>
      </c>
      <c r="C79" s="27" t="s">
        <v>24</v>
      </c>
      <c r="D79" s="27" t="s">
        <v>27</v>
      </c>
      <c r="E79" s="27">
        <v>518.07000000000005</v>
      </c>
      <c r="F79" s="27">
        <v>7</v>
      </c>
      <c r="G79" s="27">
        <v>0.05</v>
      </c>
      <c r="H79" s="28">
        <v>45522</v>
      </c>
      <c r="I79" s="27">
        <v>172.26</v>
      </c>
      <c r="J79" s="27">
        <f t="shared" si="4"/>
        <v>25.903500000000005</v>
      </c>
      <c r="K79" s="29">
        <f t="shared" ca="1" si="5"/>
        <v>46097.460787847223</v>
      </c>
    </row>
    <row r="80" spans="1:11" x14ac:dyDescent="0.25">
      <c r="A80" s="26" t="s">
        <v>30</v>
      </c>
      <c r="B80" s="27" t="s">
        <v>29</v>
      </c>
      <c r="C80" s="27" t="s">
        <v>11</v>
      </c>
      <c r="D80" s="27" t="s">
        <v>39</v>
      </c>
      <c r="E80" s="27">
        <v>1111.3399999999999</v>
      </c>
      <c r="F80" s="27">
        <v>1</v>
      </c>
      <c r="G80" s="27">
        <v>0</v>
      </c>
      <c r="H80" s="28">
        <v>45523</v>
      </c>
      <c r="I80" s="27">
        <v>500.1</v>
      </c>
      <c r="J80" s="27">
        <f t="shared" si="4"/>
        <v>0</v>
      </c>
      <c r="K80" s="29">
        <f t="shared" ca="1" si="5"/>
        <v>46097.460787847223</v>
      </c>
    </row>
    <row r="81" spans="1:11" x14ac:dyDescent="0.25">
      <c r="A81" s="26" t="s">
        <v>22</v>
      </c>
      <c r="B81" s="27" t="s">
        <v>31</v>
      </c>
      <c r="C81" s="27" t="s">
        <v>18</v>
      </c>
      <c r="D81" s="27" t="s">
        <v>15</v>
      </c>
      <c r="E81" s="27">
        <v>1291.47</v>
      </c>
      <c r="F81" s="27">
        <v>18</v>
      </c>
      <c r="G81" s="27">
        <v>0.1</v>
      </c>
      <c r="H81" s="28">
        <v>45526</v>
      </c>
      <c r="I81" s="27">
        <v>581.16</v>
      </c>
      <c r="J81" s="27">
        <f t="shared" si="4"/>
        <v>129.14700000000002</v>
      </c>
      <c r="K81" s="29">
        <f t="shared" ca="1" si="5"/>
        <v>46097.460787847223</v>
      </c>
    </row>
    <row r="82" spans="1:11" x14ac:dyDescent="0.25">
      <c r="A82" s="26" t="s">
        <v>25</v>
      </c>
      <c r="B82" s="27" t="s">
        <v>55</v>
      </c>
      <c r="C82" s="27" t="s">
        <v>24</v>
      </c>
      <c r="D82" s="27" t="s">
        <v>12</v>
      </c>
      <c r="E82" s="27">
        <v>679.71</v>
      </c>
      <c r="F82" s="27">
        <v>19</v>
      </c>
      <c r="G82" s="27">
        <v>0</v>
      </c>
      <c r="H82" s="28">
        <v>45534</v>
      </c>
      <c r="I82" s="27">
        <v>271.88</v>
      </c>
      <c r="J82" s="27">
        <f t="shared" si="4"/>
        <v>0</v>
      </c>
      <c r="K82" s="29">
        <f t="shared" ca="1" si="5"/>
        <v>46097.460787847223</v>
      </c>
    </row>
    <row r="83" spans="1:11" x14ac:dyDescent="0.25">
      <c r="A83" s="26" t="s">
        <v>68</v>
      </c>
      <c r="B83" s="27" t="s">
        <v>33</v>
      </c>
      <c r="C83" s="27" t="s">
        <v>18</v>
      </c>
      <c r="D83" s="27" t="s">
        <v>27</v>
      </c>
      <c r="E83" s="27">
        <v>1143.69</v>
      </c>
      <c r="F83" s="27">
        <v>17</v>
      </c>
      <c r="G83" s="27">
        <v>0</v>
      </c>
      <c r="H83" s="28">
        <v>45534</v>
      </c>
      <c r="I83" s="27">
        <v>400.29</v>
      </c>
      <c r="J83" s="27">
        <f t="shared" si="4"/>
        <v>0</v>
      </c>
      <c r="K83" s="29">
        <f t="shared" ca="1" si="5"/>
        <v>46097.460787847223</v>
      </c>
    </row>
    <row r="84" spans="1:11" x14ac:dyDescent="0.25">
      <c r="A84" s="26" t="s">
        <v>52</v>
      </c>
      <c r="B84" s="27" t="s">
        <v>50</v>
      </c>
      <c r="C84" s="27" t="s">
        <v>34</v>
      </c>
      <c r="D84" s="27" t="s">
        <v>21</v>
      </c>
      <c r="E84" s="27">
        <v>790.08</v>
      </c>
      <c r="F84" s="27">
        <v>7</v>
      </c>
      <c r="G84" s="27">
        <v>0.1</v>
      </c>
      <c r="H84" s="28">
        <v>45536</v>
      </c>
      <c r="I84" s="27">
        <v>177.77</v>
      </c>
      <c r="J84" s="27">
        <f t="shared" si="4"/>
        <v>79.00800000000001</v>
      </c>
      <c r="K84" s="29">
        <f t="shared" ca="1" si="5"/>
        <v>46097.460787847223</v>
      </c>
    </row>
    <row r="85" spans="1:11" x14ac:dyDescent="0.25">
      <c r="A85" s="26" t="s">
        <v>19</v>
      </c>
      <c r="B85" s="27" t="s">
        <v>48</v>
      </c>
      <c r="C85" s="27" t="s">
        <v>34</v>
      </c>
      <c r="D85" s="27" t="s">
        <v>12</v>
      </c>
      <c r="E85" s="27">
        <v>1070.68</v>
      </c>
      <c r="F85" s="27">
        <v>7</v>
      </c>
      <c r="G85" s="27">
        <v>0.05</v>
      </c>
      <c r="H85" s="28">
        <v>45536</v>
      </c>
      <c r="I85" s="27">
        <v>406.86</v>
      </c>
      <c r="J85" s="27">
        <f t="shared" si="4"/>
        <v>53.534000000000006</v>
      </c>
      <c r="K85" s="29">
        <f t="shared" ca="1" si="5"/>
        <v>46097.460787847223</v>
      </c>
    </row>
    <row r="86" spans="1:11" x14ac:dyDescent="0.25">
      <c r="A86" s="26" t="s">
        <v>58</v>
      </c>
      <c r="B86" s="27" t="s">
        <v>36</v>
      </c>
      <c r="C86" s="27" t="s">
        <v>11</v>
      </c>
      <c r="D86" s="27" t="s">
        <v>15</v>
      </c>
      <c r="E86" s="27">
        <v>1168.8900000000001</v>
      </c>
      <c r="F86" s="27">
        <v>4</v>
      </c>
      <c r="G86" s="27">
        <v>0.1</v>
      </c>
      <c r="H86" s="28">
        <v>45544</v>
      </c>
      <c r="I86" s="27">
        <v>526</v>
      </c>
      <c r="J86" s="27">
        <f t="shared" si="4"/>
        <v>116.88900000000001</v>
      </c>
      <c r="K86" s="29">
        <f t="shared" ca="1" si="5"/>
        <v>46097.460787847223</v>
      </c>
    </row>
    <row r="87" spans="1:11" x14ac:dyDescent="0.25">
      <c r="A87" s="26" t="s">
        <v>67</v>
      </c>
      <c r="B87" s="27" t="s">
        <v>10</v>
      </c>
      <c r="C87" s="27" t="s">
        <v>20</v>
      </c>
      <c r="D87" s="27" t="s">
        <v>21</v>
      </c>
      <c r="E87" s="27">
        <v>1335.87</v>
      </c>
      <c r="F87" s="27">
        <v>17</v>
      </c>
      <c r="G87" s="27">
        <v>0</v>
      </c>
      <c r="H87" s="28">
        <v>45544</v>
      </c>
      <c r="I87" s="27">
        <v>333.97</v>
      </c>
      <c r="J87" s="27">
        <f t="shared" si="4"/>
        <v>0</v>
      </c>
      <c r="K87" s="29">
        <f t="shared" ca="1" si="5"/>
        <v>46097.460787847223</v>
      </c>
    </row>
    <row r="88" spans="1:11" x14ac:dyDescent="0.25">
      <c r="A88" s="26" t="s">
        <v>40</v>
      </c>
      <c r="B88" s="27" t="s">
        <v>55</v>
      </c>
      <c r="C88" s="27" t="s">
        <v>18</v>
      </c>
      <c r="D88" s="27" t="s">
        <v>27</v>
      </c>
      <c r="E88" s="27">
        <v>873.7</v>
      </c>
      <c r="F88" s="27">
        <v>9</v>
      </c>
      <c r="G88" s="27">
        <v>0</v>
      </c>
      <c r="H88" s="28">
        <v>45546</v>
      </c>
      <c r="I88" s="27">
        <v>305.8</v>
      </c>
      <c r="J88" s="27">
        <f t="shared" si="4"/>
        <v>0</v>
      </c>
      <c r="K88" s="29">
        <f t="shared" ca="1" si="5"/>
        <v>46097.460787847223</v>
      </c>
    </row>
    <row r="89" spans="1:11" x14ac:dyDescent="0.25">
      <c r="A89" s="26" t="s">
        <v>72</v>
      </c>
      <c r="B89" s="27" t="s">
        <v>64</v>
      </c>
      <c r="C89" s="27" t="s">
        <v>11</v>
      </c>
      <c r="D89" s="27" t="s">
        <v>39</v>
      </c>
      <c r="E89" s="27">
        <v>1443.98</v>
      </c>
      <c r="F89" s="27">
        <v>19</v>
      </c>
      <c r="G89" s="27">
        <v>0</v>
      </c>
      <c r="H89" s="28">
        <v>45547</v>
      </c>
      <c r="I89" s="27">
        <v>649.79</v>
      </c>
      <c r="J89" s="27">
        <f t="shared" si="4"/>
        <v>0</v>
      </c>
      <c r="K89" s="29">
        <f t="shared" ca="1" si="5"/>
        <v>46097.460787847223</v>
      </c>
    </row>
    <row r="90" spans="1:11" x14ac:dyDescent="0.25">
      <c r="A90" s="26" t="s">
        <v>40</v>
      </c>
      <c r="B90" s="27" t="s">
        <v>23</v>
      </c>
      <c r="C90" s="27" t="s">
        <v>18</v>
      </c>
      <c r="D90" s="27" t="s">
        <v>39</v>
      </c>
      <c r="E90" s="27">
        <v>1154.33</v>
      </c>
      <c r="F90" s="27">
        <v>11</v>
      </c>
      <c r="G90" s="27">
        <v>0.15</v>
      </c>
      <c r="H90" s="28">
        <v>45549</v>
      </c>
      <c r="I90" s="27">
        <v>441.53</v>
      </c>
      <c r="J90" s="27">
        <f t="shared" si="4"/>
        <v>173.14949999999999</v>
      </c>
      <c r="K90" s="29">
        <f t="shared" ca="1" si="5"/>
        <v>46097.460787847223</v>
      </c>
    </row>
    <row r="91" spans="1:11" x14ac:dyDescent="0.25">
      <c r="A91" s="26" t="s">
        <v>49</v>
      </c>
      <c r="B91" s="27" t="s">
        <v>50</v>
      </c>
      <c r="C91" s="27" t="s">
        <v>20</v>
      </c>
      <c r="D91" s="27" t="s">
        <v>12</v>
      </c>
      <c r="E91" s="27">
        <v>1264.49</v>
      </c>
      <c r="F91" s="27">
        <v>16</v>
      </c>
      <c r="G91" s="27">
        <v>0.05</v>
      </c>
      <c r="H91" s="28">
        <v>45549</v>
      </c>
      <c r="I91" s="27">
        <v>480.51</v>
      </c>
      <c r="J91" s="27">
        <f t="shared" si="4"/>
        <v>63.224500000000006</v>
      </c>
      <c r="K91" s="29">
        <f t="shared" ca="1" si="5"/>
        <v>46097.460787847223</v>
      </c>
    </row>
    <row r="92" spans="1:11" x14ac:dyDescent="0.25">
      <c r="A92" s="26" t="s">
        <v>25</v>
      </c>
      <c r="B92" s="27" t="s">
        <v>66</v>
      </c>
      <c r="C92" s="27" t="s">
        <v>11</v>
      </c>
      <c r="D92" s="27" t="s">
        <v>27</v>
      </c>
      <c r="E92" s="27">
        <v>1101.55</v>
      </c>
      <c r="F92" s="27">
        <v>4</v>
      </c>
      <c r="G92" s="27">
        <v>0.1</v>
      </c>
      <c r="H92" s="28">
        <v>45551</v>
      </c>
      <c r="I92" s="27">
        <v>346.99</v>
      </c>
      <c r="J92" s="27">
        <f t="shared" si="4"/>
        <v>110.155</v>
      </c>
      <c r="K92" s="29">
        <f t="shared" ca="1" si="5"/>
        <v>46097.460787847223</v>
      </c>
    </row>
    <row r="93" spans="1:11" x14ac:dyDescent="0.25">
      <c r="A93" s="26" t="s">
        <v>73</v>
      </c>
      <c r="B93" s="27" t="s">
        <v>14</v>
      </c>
      <c r="C93" s="27" t="s">
        <v>20</v>
      </c>
      <c r="D93" s="27" t="s">
        <v>27</v>
      </c>
      <c r="E93" s="27">
        <v>727.73</v>
      </c>
      <c r="F93" s="27">
        <v>1</v>
      </c>
      <c r="G93" s="27">
        <v>0.1</v>
      </c>
      <c r="H93" s="28">
        <v>45552</v>
      </c>
      <c r="I93" s="27">
        <v>229.23</v>
      </c>
      <c r="J93" s="27">
        <f t="shared" si="4"/>
        <v>72.77300000000001</v>
      </c>
      <c r="K93" s="29">
        <f t="shared" ca="1" si="5"/>
        <v>46097.460787847223</v>
      </c>
    </row>
    <row r="94" spans="1:11" x14ac:dyDescent="0.25">
      <c r="A94" s="26" t="s">
        <v>74</v>
      </c>
      <c r="B94" s="27" t="s">
        <v>38</v>
      </c>
      <c r="C94" s="27" t="s">
        <v>18</v>
      </c>
      <c r="D94" s="27" t="s">
        <v>39</v>
      </c>
      <c r="E94" s="27">
        <v>875.41</v>
      </c>
      <c r="F94" s="27">
        <v>13</v>
      </c>
      <c r="G94" s="27">
        <v>0.15</v>
      </c>
      <c r="H94" s="28">
        <v>45552</v>
      </c>
      <c r="I94" s="27">
        <v>334.84</v>
      </c>
      <c r="J94" s="27">
        <f t="shared" si="4"/>
        <v>131.3115</v>
      </c>
      <c r="K94" s="29">
        <f t="shared" ca="1" si="5"/>
        <v>46097.460787847223</v>
      </c>
    </row>
    <row r="95" spans="1:11" x14ac:dyDescent="0.25">
      <c r="A95" s="26" t="s">
        <v>67</v>
      </c>
      <c r="B95" s="27" t="s">
        <v>23</v>
      </c>
      <c r="C95" s="27" t="s">
        <v>11</v>
      </c>
      <c r="D95" s="27" t="s">
        <v>21</v>
      </c>
      <c r="E95" s="27">
        <v>1158.94</v>
      </c>
      <c r="F95" s="27">
        <v>19</v>
      </c>
      <c r="G95" s="27">
        <v>0.2</v>
      </c>
      <c r="H95" s="28">
        <v>45553</v>
      </c>
      <c r="I95" s="27">
        <v>231.79</v>
      </c>
      <c r="J95" s="27">
        <f t="shared" si="4"/>
        <v>231.78800000000001</v>
      </c>
      <c r="K95" s="29">
        <f t="shared" ca="1" si="5"/>
        <v>46097.460787847223</v>
      </c>
    </row>
    <row r="96" spans="1:11" x14ac:dyDescent="0.25">
      <c r="A96" s="26" t="s">
        <v>75</v>
      </c>
      <c r="B96" s="27" t="s">
        <v>47</v>
      </c>
      <c r="C96" s="27" t="s">
        <v>20</v>
      </c>
      <c r="D96" s="27" t="s">
        <v>12</v>
      </c>
      <c r="E96" s="27">
        <v>966.3</v>
      </c>
      <c r="F96" s="27">
        <v>2</v>
      </c>
      <c r="G96" s="27">
        <v>0.15</v>
      </c>
      <c r="H96" s="28">
        <v>45557</v>
      </c>
      <c r="I96" s="27">
        <v>328.54</v>
      </c>
      <c r="J96" s="27">
        <f t="shared" si="4"/>
        <v>144.94499999999999</v>
      </c>
      <c r="K96" s="29">
        <f t="shared" ca="1" si="5"/>
        <v>46097.460787847223</v>
      </c>
    </row>
    <row r="97" spans="1:11" x14ac:dyDescent="0.25">
      <c r="A97" s="26" t="s">
        <v>68</v>
      </c>
      <c r="B97" s="27" t="s">
        <v>17</v>
      </c>
      <c r="C97" s="27" t="s">
        <v>20</v>
      </c>
      <c r="D97" s="27" t="s">
        <v>12</v>
      </c>
      <c r="E97" s="27">
        <v>917.48</v>
      </c>
      <c r="F97" s="27">
        <v>6</v>
      </c>
      <c r="G97" s="27">
        <v>0</v>
      </c>
      <c r="H97" s="28">
        <v>45558</v>
      </c>
      <c r="I97" s="27">
        <v>366.99</v>
      </c>
      <c r="J97" s="27">
        <f t="shared" si="4"/>
        <v>0</v>
      </c>
      <c r="K97" s="29">
        <f t="shared" ca="1" si="5"/>
        <v>46097.460787847223</v>
      </c>
    </row>
    <row r="98" spans="1:11" x14ac:dyDescent="0.25">
      <c r="A98" s="26" t="s">
        <v>41</v>
      </c>
      <c r="B98" s="27" t="s">
        <v>61</v>
      </c>
      <c r="C98" s="27" t="s">
        <v>11</v>
      </c>
      <c r="D98" s="27" t="s">
        <v>27</v>
      </c>
      <c r="E98" s="27">
        <v>1172.97</v>
      </c>
      <c r="F98" s="27">
        <v>7</v>
      </c>
      <c r="G98" s="27">
        <v>0.15</v>
      </c>
      <c r="H98" s="28">
        <v>45559</v>
      </c>
      <c r="I98" s="27">
        <v>348.96</v>
      </c>
      <c r="J98" s="27">
        <f t="shared" ref="J98:J129" si="6">E98*G98</f>
        <v>175.94550000000001</v>
      </c>
      <c r="K98" s="29">
        <f t="shared" ref="K98:K129" ca="1" si="7">NOW()</f>
        <v>46097.460787847223</v>
      </c>
    </row>
    <row r="99" spans="1:11" x14ac:dyDescent="0.25">
      <c r="A99" s="26" t="s">
        <v>57</v>
      </c>
      <c r="B99" s="27" t="s">
        <v>23</v>
      </c>
      <c r="C99" s="27" t="s">
        <v>24</v>
      </c>
      <c r="D99" s="27" t="s">
        <v>15</v>
      </c>
      <c r="E99" s="27">
        <v>1205.82</v>
      </c>
      <c r="F99" s="27">
        <v>11</v>
      </c>
      <c r="G99" s="27">
        <v>0.1</v>
      </c>
      <c r="H99" s="28">
        <v>45559</v>
      </c>
      <c r="I99" s="27">
        <v>542.62</v>
      </c>
      <c r="J99" s="27">
        <f t="shared" si="6"/>
        <v>120.58199999999999</v>
      </c>
      <c r="K99" s="29">
        <f t="shared" ca="1" si="7"/>
        <v>46097.460787847223</v>
      </c>
    </row>
    <row r="100" spans="1:11" x14ac:dyDescent="0.25">
      <c r="A100" s="26" t="s">
        <v>16</v>
      </c>
      <c r="B100" s="27" t="s">
        <v>64</v>
      </c>
      <c r="C100" s="27" t="s">
        <v>11</v>
      </c>
      <c r="D100" s="27" t="s">
        <v>39</v>
      </c>
      <c r="E100" s="27">
        <v>826.93</v>
      </c>
      <c r="F100" s="27">
        <v>10</v>
      </c>
      <c r="G100" s="27">
        <v>0.2</v>
      </c>
      <c r="H100" s="28">
        <v>45564</v>
      </c>
      <c r="I100" s="27">
        <v>297.69</v>
      </c>
      <c r="J100" s="27">
        <f t="shared" si="6"/>
        <v>165.386</v>
      </c>
      <c r="K100" s="29">
        <f t="shared" ca="1" si="7"/>
        <v>46097.460787847223</v>
      </c>
    </row>
    <row r="101" spans="1:11" x14ac:dyDescent="0.25">
      <c r="A101" s="26" t="s">
        <v>67</v>
      </c>
      <c r="B101" s="27" t="s">
        <v>23</v>
      </c>
      <c r="C101" s="27" t="s">
        <v>34</v>
      </c>
      <c r="D101" s="27" t="s">
        <v>15</v>
      </c>
      <c r="E101" s="27">
        <v>902.19</v>
      </c>
      <c r="F101" s="27">
        <v>12</v>
      </c>
      <c r="G101" s="27">
        <v>0</v>
      </c>
      <c r="H101" s="28">
        <v>45564</v>
      </c>
      <c r="I101" s="27">
        <v>451.1</v>
      </c>
      <c r="J101" s="27">
        <f t="shared" si="6"/>
        <v>0</v>
      </c>
      <c r="K101" s="29">
        <f t="shared" ca="1" si="7"/>
        <v>46097.460787847223</v>
      </c>
    </row>
    <row r="102" spans="1:11" x14ac:dyDescent="0.25">
      <c r="A102" s="26" t="s">
        <v>74</v>
      </c>
      <c r="B102" s="27" t="s">
        <v>38</v>
      </c>
      <c r="C102" s="27" t="s">
        <v>24</v>
      </c>
      <c r="D102" s="27" t="s">
        <v>12</v>
      </c>
      <c r="E102" s="27">
        <v>585.97</v>
      </c>
      <c r="F102" s="27">
        <v>17</v>
      </c>
      <c r="G102" s="27">
        <v>0.1</v>
      </c>
      <c r="H102" s="28">
        <v>45565</v>
      </c>
      <c r="I102" s="27">
        <v>210.95</v>
      </c>
      <c r="J102" s="27">
        <f t="shared" si="6"/>
        <v>58.597000000000008</v>
      </c>
      <c r="K102" s="29">
        <f t="shared" ca="1" si="7"/>
        <v>46097.460787847223</v>
      </c>
    </row>
    <row r="103" spans="1:11" x14ac:dyDescent="0.25">
      <c r="A103" s="26" t="s">
        <v>60</v>
      </c>
      <c r="B103" s="27" t="s">
        <v>26</v>
      </c>
      <c r="C103" s="27" t="s">
        <v>24</v>
      </c>
      <c r="D103" s="27" t="s">
        <v>15</v>
      </c>
      <c r="E103" s="27">
        <v>990.19</v>
      </c>
      <c r="F103" s="27">
        <v>8</v>
      </c>
      <c r="G103" s="27">
        <v>0.1</v>
      </c>
      <c r="H103" s="28">
        <v>45565</v>
      </c>
      <c r="I103" s="27">
        <v>445.59</v>
      </c>
      <c r="J103" s="27">
        <f t="shared" si="6"/>
        <v>99.019000000000005</v>
      </c>
      <c r="K103" s="29">
        <f t="shared" ca="1" si="7"/>
        <v>46097.460787847223</v>
      </c>
    </row>
    <row r="104" spans="1:11" x14ac:dyDescent="0.25">
      <c r="A104" s="26" t="s">
        <v>44</v>
      </c>
      <c r="B104" s="27" t="s">
        <v>56</v>
      </c>
      <c r="C104" s="27" t="s">
        <v>34</v>
      </c>
      <c r="D104" s="27" t="s">
        <v>21</v>
      </c>
      <c r="E104" s="27">
        <v>1014.09</v>
      </c>
      <c r="F104" s="27">
        <v>13</v>
      </c>
      <c r="G104" s="27">
        <v>0.2</v>
      </c>
      <c r="H104" s="28">
        <v>45567</v>
      </c>
      <c r="I104" s="27">
        <v>202.82</v>
      </c>
      <c r="J104" s="27">
        <f t="shared" si="6"/>
        <v>202.81800000000001</v>
      </c>
      <c r="K104" s="29">
        <f t="shared" ca="1" si="7"/>
        <v>46097.460787847223</v>
      </c>
    </row>
    <row r="105" spans="1:11" x14ac:dyDescent="0.25">
      <c r="A105" s="26" t="s">
        <v>13</v>
      </c>
      <c r="B105" s="27" t="s">
        <v>48</v>
      </c>
      <c r="C105" s="27" t="s">
        <v>24</v>
      </c>
      <c r="D105" s="27" t="s">
        <v>21</v>
      </c>
      <c r="E105" s="27">
        <v>925.29</v>
      </c>
      <c r="F105" s="27">
        <v>17</v>
      </c>
      <c r="G105" s="27">
        <v>0</v>
      </c>
      <c r="H105" s="28">
        <v>45570</v>
      </c>
      <c r="I105" s="27">
        <v>231.32</v>
      </c>
      <c r="J105" s="27">
        <f t="shared" si="6"/>
        <v>0</v>
      </c>
      <c r="K105" s="29">
        <f t="shared" ca="1" si="7"/>
        <v>46097.460787847223</v>
      </c>
    </row>
    <row r="106" spans="1:11" x14ac:dyDescent="0.25">
      <c r="A106" s="26" t="s">
        <v>54</v>
      </c>
      <c r="B106" s="27" t="s">
        <v>47</v>
      </c>
      <c r="C106" s="27" t="s">
        <v>18</v>
      </c>
      <c r="D106" s="27" t="s">
        <v>27</v>
      </c>
      <c r="E106" s="27">
        <v>1286.54</v>
      </c>
      <c r="F106" s="27">
        <v>8</v>
      </c>
      <c r="G106" s="27">
        <v>0</v>
      </c>
      <c r="H106" s="28">
        <v>45575</v>
      </c>
      <c r="I106" s="27">
        <v>450.29</v>
      </c>
      <c r="J106" s="27">
        <f t="shared" si="6"/>
        <v>0</v>
      </c>
      <c r="K106" s="29">
        <f t="shared" ca="1" si="7"/>
        <v>46097.460787847223</v>
      </c>
    </row>
    <row r="107" spans="1:11" x14ac:dyDescent="0.25">
      <c r="A107" s="26" t="s">
        <v>37</v>
      </c>
      <c r="B107" s="27" t="s">
        <v>64</v>
      </c>
      <c r="C107" s="27" t="s">
        <v>20</v>
      </c>
      <c r="D107" s="27" t="s">
        <v>12</v>
      </c>
      <c r="E107" s="27">
        <v>961.62</v>
      </c>
      <c r="F107" s="27">
        <v>8</v>
      </c>
      <c r="G107" s="27">
        <v>0.2</v>
      </c>
      <c r="H107" s="28">
        <v>45577</v>
      </c>
      <c r="I107" s="27">
        <v>307.72000000000003</v>
      </c>
      <c r="J107" s="27">
        <f t="shared" si="6"/>
        <v>192.32400000000001</v>
      </c>
      <c r="K107" s="29">
        <f t="shared" ca="1" si="7"/>
        <v>46097.460787847223</v>
      </c>
    </row>
    <row r="108" spans="1:11" x14ac:dyDescent="0.25">
      <c r="A108" s="26" t="s">
        <v>44</v>
      </c>
      <c r="B108" s="27" t="s">
        <v>23</v>
      </c>
      <c r="C108" s="27" t="s">
        <v>18</v>
      </c>
      <c r="D108" s="27" t="s">
        <v>12</v>
      </c>
      <c r="E108" s="27">
        <v>1081.1400000000001</v>
      </c>
      <c r="F108" s="27">
        <v>19</v>
      </c>
      <c r="G108" s="27">
        <v>0.15</v>
      </c>
      <c r="H108" s="28">
        <v>45577</v>
      </c>
      <c r="I108" s="27">
        <v>367.59</v>
      </c>
      <c r="J108" s="27">
        <f t="shared" si="6"/>
        <v>162.17100000000002</v>
      </c>
      <c r="K108" s="29">
        <f t="shared" ca="1" si="7"/>
        <v>46097.460787847223</v>
      </c>
    </row>
    <row r="109" spans="1:11" x14ac:dyDescent="0.25">
      <c r="A109" s="26" t="s">
        <v>58</v>
      </c>
      <c r="B109" s="27" t="s">
        <v>23</v>
      </c>
      <c r="C109" s="27" t="s">
        <v>11</v>
      </c>
      <c r="D109" s="27" t="s">
        <v>15</v>
      </c>
      <c r="E109" s="27">
        <v>1923.66</v>
      </c>
      <c r="F109" s="27">
        <v>9</v>
      </c>
      <c r="G109" s="27">
        <v>0.2</v>
      </c>
      <c r="H109" s="28">
        <v>45580</v>
      </c>
      <c r="I109" s="27">
        <v>769.46</v>
      </c>
      <c r="J109" s="27">
        <f t="shared" si="6"/>
        <v>384.73200000000003</v>
      </c>
      <c r="K109" s="29">
        <f t="shared" ca="1" si="7"/>
        <v>46097.460787847223</v>
      </c>
    </row>
    <row r="110" spans="1:11" x14ac:dyDescent="0.25">
      <c r="A110" s="26" t="s">
        <v>54</v>
      </c>
      <c r="B110" s="27" t="s">
        <v>66</v>
      </c>
      <c r="C110" s="27" t="s">
        <v>34</v>
      </c>
      <c r="D110" s="27" t="s">
        <v>15</v>
      </c>
      <c r="E110" s="27">
        <v>728.71</v>
      </c>
      <c r="F110" s="27">
        <v>14</v>
      </c>
      <c r="G110" s="27">
        <v>0.1</v>
      </c>
      <c r="H110" s="28">
        <v>45581</v>
      </c>
      <c r="I110" s="27">
        <v>327.92</v>
      </c>
      <c r="J110" s="27">
        <f t="shared" si="6"/>
        <v>72.871000000000009</v>
      </c>
      <c r="K110" s="29">
        <f t="shared" ca="1" si="7"/>
        <v>46097.460787847223</v>
      </c>
    </row>
    <row r="111" spans="1:11" x14ac:dyDescent="0.25">
      <c r="A111" s="26" t="s">
        <v>9</v>
      </c>
      <c r="B111" s="27" t="s">
        <v>33</v>
      </c>
      <c r="C111" s="27" t="s">
        <v>34</v>
      </c>
      <c r="D111" s="27" t="s">
        <v>15</v>
      </c>
      <c r="E111" s="27">
        <v>1301.8900000000001</v>
      </c>
      <c r="F111" s="27">
        <v>7</v>
      </c>
      <c r="G111" s="27">
        <v>0.15</v>
      </c>
      <c r="H111" s="28">
        <v>45581</v>
      </c>
      <c r="I111" s="27">
        <v>553.29999999999995</v>
      </c>
      <c r="J111" s="27">
        <f t="shared" si="6"/>
        <v>195.2835</v>
      </c>
      <c r="K111" s="29">
        <f t="shared" ca="1" si="7"/>
        <v>46097.460787847223</v>
      </c>
    </row>
    <row r="112" spans="1:11" x14ac:dyDescent="0.25">
      <c r="A112" s="26" t="s">
        <v>70</v>
      </c>
      <c r="B112" s="27" t="s">
        <v>66</v>
      </c>
      <c r="C112" s="27" t="s">
        <v>18</v>
      </c>
      <c r="D112" s="27" t="s">
        <v>12</v>
      </c>
      <c r="E112" s="27">
        <v>980.18</v>
      </c>
      <c r="F112" s="27">
        <v>16</v>
      </c>
      <c r="G112" s="27">
        <v>0.1</v>
      </c>
      <c r="H112" s="28">
        <v>45582</v>
      </c>
      <c r="I112" s="27">
        <v>352.86</v>
      </c>
      <c r="J112" s="27">
        <f t="shared" si="6"/>
        <v>98.018000000000001</v>
      </c>
      <c r="K112" s="29">
        <f t="shared" ca="1" si="7"/>
        <v>46097.460787847223</v>
      </c>
    </row>
    <row r="113" spans="1:11" x14ac:dyDescent="0.25">
      <c r="A113" s="26" t="s">
        <v>74</v>
      </c>
      <c r="B113" s="27" t="s">
        <v>23</v>
      </c>
      <c r="C113" s="27" t="s">
        <v>11</v>
      </c>
      <c r="D113" s="27" t="s">
        <v>15</v>
      </c>
      <c r="E113" s="27">
        <v>697.57</v>
      </c>
      <c r="F113" s="27">
        <v>17</v>
      </c>
      <c r="G113" s="27">
        <v>0.1</v>
      </c>
      <c r="H113" s="28">
        <v>45584</v>
      </c>
      <c r="I113" s="27">
        <v>313.91000000000003</v>
      </c>
      <c r="J113" s="27">
        <f t="shared" si="6"/>
        <v>69.757000000000005</v>
      </c>
      <c r="K113" s="29">
        <f t="shared" ca="1" si="7"/>
        <v>46097.460787847223</v>
      </c>
    </row>
    <row r="114" spans="1:11" x14ac:dyDescent="0.25">
      <c r="A114" s="26" t="s">
        <v>46</v>
      </c>
      <c r="B114" s="27" t="s">
        <v>71</v>
      </c>
      <c r="C114" s="27" t="s">
        <v>11</v>
      </c>
      <c r="D114" s="27" t="s">
        <v>27</v>
      </c>
      <c r="E114" s="27">
        <v>1193.6099999999999</v>
      </c>
      <c r="F114" s="27">
        <v>1</v>
      </c>
      <c r="G114" s="27">
        <v>0.15</v>
      </c>
      <c r="H114" s="28">
        <v>45584</v>
      </c>
      <c r="I114" s="27">
        <v>355.1</v>
      </c>
      <c r="J114" s="27">
        <f t="shared" si="6"/>
        <v>179.04149999999998</v>
      </c>
      <c r="K114" s="29">
        <f t="shared" ca="1" si="7"/>
        <v>46097.460787847223</v>
      </c>
    </row>
    <row r="115" spans="1:11" x14ac:dyDescent="0.25">
      <c r="A115" s="26" t="s">
        <v>32</v>
      </c>
      <c r="B115" s="27" t="s">
        <v>38</v>
      </c>
      <c r="C115" s="27" t="s">
        <v>20</v>
      </c>
      <c r="D115" s="27" t="s">
        <v>21</v>
      </c>
      <c r="E115" s="27">
        <v>771.02</v>
      </c>
      <c r="F115" s="27">
        <v>1</v>
      </c>
      <c r="G115" s="27">
        <v>0</v>
      </c>
      <c r="H115" s="28">
        <v>45585</v>
      </c>
      <c r="I115" s="27">
        <v>192.76</v>
      </c>
      <c r="J115" s="27">
        <f t="shared" si="6"/>
        <v>0</v>
      </c>
      <c r="K115" s="29">
        <f t="shared" ca="1" si="7"/>
        <v>46097.460787847223</v>
      </c>
    </row>
    <row r="116" spans="1:11" x14ac:dyDescent="0.25">
      <c r="A116" s="26" t="s">
        <v>67</v>
      </c>
      <c r="B116" s="27" t="s">
        <v>69</v>
      </c>
      <c r="C116" s="27" t="s">
        <v>24</v>
      </c>
      <c r="D116" s="27" t="s">
        <v>15</v>
      </c>
      <c r="E116" s="27">
        <v>661.09</v>
      </c>
      <c r="F116" s="27">
        <v>1</v>
      </c>
      <c r="G116" s="27">
        <v>0.2</v>
      </c>
      <c r="H116" s="28">
        <v>45593</v>
      </c>
      <c r="I116" s="27">
        <v>264.44</v>
      </c>
      <c r="J116" s="27">
        <f t="shared" si="6"/>
        <v>132.21800000000002</v>
      </c>
      <c r="K116" s="29">
        <f t="shared" ca="1" si="7"/>
        <v>46097.460787847223</v>
      </c>
    </row>
    <row r="117" spans="1:11" x14ac:dyDescent="0.25">
      <c r="A117" s="26" t="s">
        <v>13</v>
      </c>
      <c r="B117" s="27" t="s">
        <v>55</v>
      </c>
      <c r="C117" s="27" t="s">
        <v>11</v>
      </c>
      <c r="D117" s="27" t="s">
        <v>21</v>
      </c>
      <c r="E117" s="27">
        <v>688.83</v>
      </c>
      <c r="F117" s="27">
        <v>15</v>
      </c>
      <c r="G117" s="27">
        <v>0</v>
      </c>
      <c r="H117" s="28">
        <v>45595</v>
      </c>
      <c r="I117" s="27">
        <v>172.21</v>
      </c>
      <c r="J117" s="27">
        <f t="shared" si="6"/>
        <v>0</v>
      </c>
      <c r="K117" s="29">
        <f t="shared" ca="1" si="7"/>
        <v>46097.460787847223</v>
      </c>
    </row>
    <row r="118" spans="1:11" x14ac:dyDescent="0.25">
      <c r="A118" s="26" t="s">
        <v>73</v>
      </c>
      <c r="B118" s="27" t="s">
        <v>29</v>
      </c>
      <c r="C118" s="27" t="s">
        <v>34</v>
      </c>
      <c r="D118" s="27" t="s">
        <v>12</v>
      </c>
      <c r="E118" s="27">
        <v>1249.0999999999999</v>
      </c>
      <c r="F118" s="27">
        <v>4</v>
      </c>
      <c r="G118" s="27">
        <v>0.05</v>
      </c>
      <c r="H118" s="28">
        <v>45597</v>
      </c>
      <c r="I118" s="27">
        <v>474.66</v>
      </c>
      <c r="J118" s="27">
        <f t="shared" si="6"/>
        <v>62.454999999999998</v>
      </c>
      <c r="K118" s="29">
        <f t="shared" ca="1" si="7"/>
        <v>46097.460787847223</v>
      </c>
    </row>
    <row r="119" spans="1:11" x14ac:dyDescent="0.25">
      <c r="A119" s="26" t="s">
        <v>44</v>
      </c>
      <c r="B119" s="27" t="s">
        <v>23</v>
      </c>
      <c r="C119" s="27" t="s">
        <v>18</v>
      </c>
      <c r="D119" s="27" t="s">
        <v>39</v>
      </c>
      <c r="E119" s="27">
        <v>1014.22</v>
      </c>
      <c r="F119" s="27">
        <v>14</v>
      </c>
      <c r="G119" s="27">
        <v>0.05</v>
      </c>
      <c r="H119" s="28">
        <v>45599</v>
      </c>
      <c r="I119" s="27">
        <v>433.58</v>
      </c>
      <c r="J119" s="27">
        <f t="shared" si="6"/>
        <v>50.711000000000006</v>
      </c>
      <c r="K119" s="29">
        <f t="shared" ca="1" si="7"/>
        <v>46097.460787847223</v>
      </c>
    </row>
    <row r="120" spans="1:11" x14ac:dyDescent="0.25">
      <c r="A120" s="26" t="s">
        <v>54</v>
      </c>
      <c r="B120" s="27" t="s">
        <v>48</v>
      </c>
      <c r="C120" s="27" t="s">
        <v>18</v>
      </c>
      <c r="D120" s="27" t="s">
        <v>12</v>
      </c>
      <c r="E120" s="27">
        <v>1010.58</v>
      </c>
      <c r="F120" s="27">
        <v>2</v>
      </c>
      <c r="G120" s="27">
        <v>0.15</v>
      </c>
      <c r="H120" s="28">
        <v>45605</v>
      </c>
      <c r="I120" s="27">
        <v>343.6</v>
      </c>
      <c r="J120" s="27">
        <f t="shared" si="6"/>
        <v>151.58699999999999</v>
      </c>
      <c r="K120" s="29">
        <f t="shared" ca="1" si="7"/>
        <v>46097.460787847223</v>
      </c>
    </row>
    <row r="121" spans="1:11" x14ac:dyDescent="0.25">
      <c r="A121" s="26" t="s">
        <v>30</v>
      </c>
      <c r="B121" s="27" t="s">
        <v>59</v>
      </c>
      <c r="C121" s="27" t="s">
        <v>24</v>
      </c>
      <c r="D121" s="27" t="s">
        <v>27</v>
      </c>
      <c r="E121" s="27">
        <v>957.29</v>
      </c>
      <c r="F121" s="27">
        <v>4</v>
      </c>
      <c r="G121" s="27">
        <v>0.05</v>
      </c>
      <c r="H121" s="28">
        <v>45605</v>
      </c>
      <c r="I121" s="27">
        <v>318.3</v>
      </c>
      <c r="J121" s="27">
        <f t="shared" si="6"/>
        <v>47.8645</v>
      </c>
      <c r="K121" s="29">
        <f t="shared" ca="1" si="7"/>
        <v>46097.460787847223</v>
      </c>
    </row>
    <row r="122" spans="1:11" x14ac:dyDescent="0.25">
      <c r="A122" s="26" t="s">
        <v>28</v>
      </c>
      <c r="B122" s="27" t="s">
        <v>45</v>
      </c>
      <c r="C122" s="27" t="s">
        <v>24</v>
      </c>
      <c r="D122" s="27" t="s">
        <v>27</v>
      </c>
      <c r="E122" s="27">
        <v>1077.92</v>
      </c>
      <c r="F122" s="27">
        <v>3</v>
      </c>
      <c r="G122" s="27">
        <v>0.05</v>
      </c>
      <c r="H122" s="28">
        <v>45608</v>
      </c>
      <c r="I122" s="27">
        <v>358.41</v>
      </c>
      <c r="J122" s="27">
        <f t="shared" si="6"/>
        <v>53.896000000000008</v>
      </c>
      <c r="K122" s="29">
        <f t="shared" ca="1" si="7"/>
        <v>46097.460787847223</v>
      </c>
    </row>
    <row r="123" spans="1:11" x14ac:dyDescent="0.25">
      <c r="A123" s="26" t="s">
        <v>52</v>
      </c>
      <c r="B123" s="27" t="s">
        <v>50</v>
      </c>
      <c r="C123" s="27" t="s">
        <v>20</v>
      </c>
      <c r="D123" s="27" t="s">
        <v>15</v>
      </c>
      <c r="E123" s="27">
        <v>1163.01</v>
      </c>
      <c r="F123" s="27">
        <v>5</v>
      </c>
      <c r="G123" s="27">
        <v>0</v>
      </c>
      <c r="H123" s="28">
        <v>45611</v>
      </c>
      <c r="I123" s="27">
        <v>581.5</v>
      </c>
      <c r="J123" s="27">
        <f t="shared" si="6"/>
        <v>0</v>
      </c>
      <c r="K123" s="29">
        <f t="shared" ca="1" si="7"/>
        <v>46097.460787847223</v>
      </c>
    </row>
    <row r="124" spans="1:11" x14ac:dyDescent="0.25">
      <c r="A124" s="26" t="s">
        <v>54</v>
      </c>
      <c r="B124" s="27" t="s">
        <v>45</v>
      </c>
      <c r="C124" s="27" t="s">
        <v>18</v>
      </c>
      <c r="D124" s="27" t="s">
        <v>39</v>
      </c>
      <c r="E124" s="27">
        <v>1014.56</v>
      </c>
      <c r="F124" s="27">
        <v>10</v>
      </c>
      <c r="G124" s="27">
        <v>0.1</v>
      </c>
      <c r="H124" s="28">
        <v>45612</v>
      </c>
      <c r="I124" s="27">
        <v>410.9</v>
      </c>
      <c r="J124" s="27">
        <f t="shared" si="6"/>
        <v>101.456</v>
      </c>
      <c r="K124" s="29">
        <f t="shared" ca="1" si="7"/>
        <v>46097.460787847223</v>
      </c>
    </row>
    <row r="125" spans="1:11" x14ac:dyDescent="0.25">
      <c r="A125" s="26" t="s">
        <v>9</v>
      </c>
      <c r="B125" s="27" t="s">
        <v>17</v>
      </c>
      <c r="C125" s="27" t="s">
        <v>20</v>
      </c>
      <c r="D125" s="27" t="s">
        <v>21</v>
      </c>
      <c r="E125" s="27">
        <v>718.04</v>
      </c>
      <c r="F125" s="27">
        <v>14</v>
      </c>
      <c r="G125" s="27">
        <v>0</v>
      </c>
      <c r="H125" s="28">
        <v>45613</v>
      </c>
      <c r="I125" s="27">
        <v>179.51</v>
      </c>
      <c r="J125" s="27">
        <f t="shared" si="6"/>
        <v>0</v>
      </c>
      <c r="K125" s="29">
        <f t="shared" ca="1" si="7"/>
        <v>46097.460787847223</v>
      </c>
    </row>
    <row r="126" spans="1:11" x14ac:dyDescent="0.25">
      <c r="A126" s="26" t="s">
        <v>72</v>
      </c>
      <c r="B126" s="27" t="s">
        <v>17</v>
      </c>
      <c r="C126" s="27" t="s">
        <v>34</v>
      </c>
      <c r="D126" s="27" t="s">
        <v>15</v>
      </c>
      <c r="E126" s="27">
        <v>1277.8499999999999</v>
      </c>
      <c r="F126" s="27">
        <v>18</v>
      </c>
      <c r="G126" s="27">
        <v>0.2</v>
      </c>
      <c r="H126" s="28">
        <v>45613</v>
      </c>
      <c r="I126" s="27">
        <v>511.14</v>
      </c>
      <c r="J126" s="27">
        <f t="shared" si="6"/>
        <v>255.57</v>
      </c>
      <c r="K126" s="29">
        <f t="shared" ca="1" si="7"/>
        <v>46097.460787847223</v>
      </c>
    </row>
    <row r="127" spans="1:11" x14ac:dyDescent="0.25">
      <c r="A127" s="26" t="s">
        <v>70</v>
      </c>
      <c r="B127" s="27" t="s">
        <v>23</v>
      </c>
      <c r="C127" s="27" t="s">
        <v>24</v>
      </c>
      <c r="D127" s="27" t="s">
        <v>21</v>
      </c>
      <c r="E127" s="27">
        <v>706.73</v>
      </c>
      <c r="F127" s="27">
        <v>1</v>
      </c>
      <c r="G127" s="27">
        <v>0.15</v>
      </c>
      <c r="H127" s="28">
        <v>45613</v>
      </c>
      <c r="I127" s="27">
        <v>150.18</v>
      </c>
      <c r="J127" s="27">
        <f t="shared" si="6"/>
        <v>106.0095</v>
      </c>
      <c r="K127" s="29">
        <f t="shared" ca="1" si="7"/>
        <v>46097.460787847223</v>
      </c>
    </row>
    <row r="128" spans="1:11" x14ac:dyDescent="0.25">
      <c r="A128" s="26" t="s">
        <v>65</v>
      </c>
      <c r="B128" s="27" t="s">
        <v>50</v>
      </c>
      <c r="C128" s="27" t="s">
        <v>18</v>
      </c>
      <c r="D128" s="27" t="s">
        <v>21</v>
      </c>
      <c r="E128" s="27">
        <v>1410.59</v>
      </c>
      <c r="F128" s="27">
        <v>15</v>
      </c>
      <c r="G128" s="27">
        <v>0</v>
      </c>
      <c r="H128" s="28">
        <v>45615</v>
      </c>
      <c r="I128" s="27">
        <v>352.65</v>
      </c>
      <c r="J128" s="27">
        <f t="shared" si="6"/>
        <v>0</v>
      </c>
      <c r="K128" s="29">
        <f t="shared" ca="1" si="7"/>
        <v>46097.460787847223</v>
      </c>
    </row>
    <row r="129" spans="1:11" x14ac:dyDescent="0.25">
      <c r="A129" s="26" t="s">
        <v>32</v>
      </c>
      <c r="B129" s="27" t="s">
        <v>61</v>
      </c>
      <c r="C129" s="27" t="s">
        <v>20</v>
      </c>
      <c r="D129" s="27" t="s">
        <v>27</v>
      </c>
      <c r="E129" s="27">
        <v>1350.33</v>
      </c>
      <c r="F129" s="27">
        <v>10</v>
      </c>
      <c r="G129" s="27">
        <v>0</v>
      </c>
      <c r="H129" s="28">
        <v>45615</v>
      </c>
      <c r="I129" s="27">
        <v>472.62</v>
      </c>
      <c r="J129" s="27">
        <f t="shared" si="6"/>
        <v>0</v>
      </c>
      <c r="K129" s="29">
        <f t="shared" ca="1" si="7"/>
        <v>46097.460787847223</v>
      </c>
    </row>
    <row r="130" spans="1:11" x14ac:dyDescent="0.25">
      <c r="A130" s="26" t="s">
        <v>41</v>
      </c>
      <c r="B130" s="27" t="s">
        <v>45</v>
      </c>
      <c r="C130" s="27" t="s">
        <v>18</v>
      </c>
      <c r="D130" s="27" t="s">
        <v>21</v>
      </c>
      <c r="E130" s="27">
        <v>919.18</v>
      </c>
      <c r="F130" s="27">
        <v>4</v>
      </c>
      <c r="G130" s="27">
        <v>0.15</v>
      </c>
      <c r="H130" s="28">
        <v>45615</v>
      </c>
      <c r="I130" s="27">
        <v>195.33</v>
      </c>
      <c r="J130" s="27">
        <f t="shared" ref="J130:J161" si="8">E130*G130</f>
        <v>137.87699999999998</v>
      </c>
      <c r="K130" s="29">
        <f t="shared" ref="K130:K161" ca="1" si="9">NOW()</f>
        <v>46097.460787847223</v>
      </c>
    </row>
    <row r="131" spans="1:11" x14ac:dyDescent="0.25">
      <c r="A131" s="26" t="s">
        <v>74</v>
      </c>
      <c r="B131" s="27" t="s">
        <v>23</v>
      </c>
      <c r="C131" s="27" t="s">
        <v>11</v>
      </c>
      <c r="D131" s="27" t="s">
        <v>21</v>
      </c>
      <c r="E131" s="27">
        <v>258.51</v>
      </c>
      <c r="F131" s="27">
        <v>19</v>
      </c>
      <c r="G131" s="27">
        <v>0</v>
      </c>
      <c r="H131" s="28">
        <v>45616</v>
      </c>
      <c r="I131" s="27">
        <v>64.63</v>
      </c>
      <c r="J131" s="27">
        <f t="shared" si="8"/>
        <v>0</v>
      </c>
      <c r="K131" s="29">
        <f t="shared" ca="1" si="9"/>
        <v>46097.460787847223</v>
      </c>
    </row>
    <row r="132" spans="1:11" x14ac:dyDescent="0.25">
      <c r="A132" s="26" t="s">
        <v>63</v>
      </c>
      <c r="B132" s="27" t="s">
        <v>61</v>
      </c>
      <c r="C132" s="27" t="s">
        <v>18</v>
      </c>
      <c r="D132" s="27" t="s">
        <v>12</v>
      </c>
      <c r="E132" s="27">
        <v>1213.48</v>
      </c>
      <c r="F132" s="27">
        <v>5</v>
      </c>
      <c r="G132" s="27">
        <v>0.05</v>
      </c>
      <c r="H132" s="28">
        <v>45616</v>
      </c>
      <c r="I132" s="27">
        <v>461.12</v>
      </c>
      <c r="J132" s="27">
        <f t="shared" si="8"/>
        <v>60.674000000000007</v>
      </c>
      <c r="K132" s="29">
        <f t="shared" ca="1" si="9"/>
        <v>46097.460787847223</v>
      </c>
    </row>
    <row r="133" spans="1:11" x14ac:dyDescent="0.25">
      <c r="A133" s="26" t="s">
        <v>57</v>
      </c>
      <c r="B133" s="27" t="s">
        <v>38</v>
      </c>
      <c r="C133" s="27" t="s">
        <v>34</v>
      </c>
      <c r="D133" s="27" t="s">
        <v>12</v>
      </c>
      <c r="E133" s="27">
        <v>1150.28</v>
      </c>
      <c r="F133" s="27">
        <v>8</v>
      </c>
      <c r="G133" s="27">
        <v>0.05</v>
      </c>
      <c r="H133" s="28">
        <v>45622</v>
      </c>
      <c r="I133" s="27">
        <v>437.11</v>
      </c>
      <c r="J133" s="27">
        <f t="shared" si="8"/>
        <v>57.514000000000003</v>
      </c>
      <c r="K133" s="29">
        <f t="shared" ca="1" si="9"/>
        <v>46097.460787847223</v>
      </c>
    </row>
    <row r="134" spans="1:11" x14ac:dyDescent="0.25">
      <c r="A134" s="26" t="s">
        <v>37</v>
      </c>
      <c r="B134" s="27" t="s">
        <v>71</v>
      </c>
      <c r="C134" s="27" t="s">
        <v>20</v>
      </c>
      <c r="D134" s="27" t="s">
        <v>27</v>
      </c>
      <c r="E134" s="27">
        <v>853.86</v>
      </c>
      <c r="F134" s="27">
        <v>8</v>
      </c>
      <c r="G134" s="27">
        <v>0.1</v>
      </c>
      <c r="H134" s="28">
        <v>45622</v>
      </c>
      <c r="I134" s="27">
        <v>268.97000000000003</v>
      </c>
      <c r="J134" s="27">
        <f t="shared" si="8"/>
        <v>85.38600000000001</v>
      </c>
      <c r="K134" s="29">
        <f t="shared" ca="1" si="9"/>
        <v>46097.460787847223</v>
      </c>
    </row>
    <row r="135" spans="1:11" x14ac:dyDescent="0.25">
      <c r="A135" s="26" t="s">
        <v>75</v>
      </c>
      <c r="B135" s="27" t="s">
        <v>45</v>
      </c>
      <c r="C135" s="27" t="s">
        <v>20</v>
      </c>
      <c r="D135" s="27" t="s">
        <v>21</v>
      </c>
      <c r="E135" s="27">
        <v>1061.04</v>
      </c>
      <c r="F135" s="27">
        <v>1</v>
      </c>
      <c r="G135" s="27">
        <v>0</v>
      </c>
      <c r="H135" s="28">
        <v>45624</v>
      </c>
      <c r="I135" s="27">
        <v>265.26</v>
      </c>
      <c r="J135" s="27">
        <f t="shared" si="8"/>
        <v>0</v>
      </c>
      <c r="K135" s="29">
        <f t="shared" ca="1" si="9"/>
        <v>46097.460787847223</v>
      </c>
    </row>
    <row r="136" spans="1:11" x14ac:dyDescent="0.25">
      <c r="A136" s="26" t="s">
        <v>28</v>
      </c>
      <c r="B136" s="27" t="s">
        <v>43</v>
      </c>
      <c r="C136" s="27" t="s">
        <v>11</v>
      </c>
      <c r="D136" s="27" t="s">
        <v>21</v>
      </c>
      <c r="E136" s="27">
        <v>894.55</v>
      </c>
      <c r="F136" s="27">
        <v>19</v>
      </c>
      <c r="G136" s="27">
        <v>0.2</v>
      </c>
      <c r="H136" s="28">
        <v>45625</v>
      </c>
      <c r="I136" s="27">
        <v>178.91</v>
      </c>
      <c r="J136" s="27">
        <f t="shared" si="8"/>
        <v>178.91</v>
      </c>
      <c r="K136" s="29">
        <f t="shared" ca="1" si="9"/>
        <v>46097.460787847223</v>
      </c>
    </row>
    <row r="137" spans="1:11" x14ac:dyDescent="0.25">
      <c r="A137" s="26" t="s">
        <v>25</v>
      </c>
      <c r="B137" s="27" t="s">
        <v>38</v>
      </c>
      <c r="C137" s="27" t="s">
        <v>24</v>
      </c>
      <c r="D137" s="27" t="s">
        <v>39</v>
      </c>
      <c r="E137" s="27">
        <v>833.91</v>
      </c>
      <c r="F137" s="27">
        <v>3</v>
      </c>
      <c r="G137" s="27">
        <v>0.05</v>
      </c>
      <c r="H137" s="28">
        <v>45626</v>
      </c>
      <c r="I137" s="27">
        <v>356.5</v>
      </c>
      <c r="J137" s="27">
        <f t="shared" si="8"/>
        <v>41.695500000000003</v>
      </c>
      <c r="K137" s="29">
        <f t="shared" ca="1" si="9"/>
        <v>46097.460787847223</v>
      </c>
    </row>
    <row r="138" spans="1:11" x14ac:dyDescent="0.25">
      <c r="A138" s="26" t="s">
        <v>58</v>
      </c>
      <c r="B138" s="27" t="s">
        <v>71</v>
      </c>
      <c r="C138" s="27" t="s">
        <v>11</v>
      </c>
      <c r="D138" s="27" t="s">
        <v>27</v>
      </c>
      <c r="E138" s="27">
        <v>820.19</v>
      </c>
      <c r="F138" s="27">
        <v>4</v>
      </c>
      <c r="G138" s="27">
        <v>0.2</v>
      </c>
      <c r="H138" s="28">
        <v>45630</v>
      </c>
      <c r="I138" s="27">
        <v>229.65</v>
      </c>
      <c r="J138" s="27">
        <f t="shared" si="8"/>
        <v>164.03800000000001</v>
      </c>
      <c r="K138" s="29">
        <f t="shared" ca="1" si="9"/>
        <v>46097.460787847223</v>
      </c>
    </row>
    <row r="139" spans="1:11" x14ac:dyDescent="0.25">
      <c r="A139" s="26" t="s">
        <v>58</v>
      </c>
      <c r="B139" s="27" t="s">
        <v>38</v>
      </c>
      <c r="C139" s="27" t="s">
        <v>34</v>
      </c>
      <c r="D139" s="27" t="s">
        <v>21</v>
      </c>
      <c r="E139" s="27">
        <v>511.74</v>
      </c>
      <c r="F139" s="27">
        <v>8</v>
      </c>
      <c r="G139" s="27">
        <v>0.05</v>
      </c>
      <c r="H139" s="28">
        <v>45631</v>
      </c>
      <c r="I139" s="27">
        <v>121.54</v>
      </c>
      <c r="J139" s="27">
        <f t="shared" si="8"/>
        <v>25.587000000000003</v>
      </c>
      <c r="K139" s="29">
        <f t="shared" ca="1" si="9"/>
        <v>46097.460787847223</v>
      </c>
    </row>
    <row r="140" spans="1:11" x14ac:dyDescent="0.25">
      <c r="A140" s="26" t="s">
        <v>65</v>
      </c>
      <c r="B140" s="27" t="s">
        <v>61</v>
      </c>
      <c r="C140" s="27" t="s">
        <v>20</v>
      </c>
      <c r="D140" s="27" t="s">
        <v>27</v>
      </c>
      <c r="E140" s="27">
        <v>806.03</v>
      </c>
      <c r="F140" s="27">
        <v>19</v>
      </c>
      <c r="G140" s="27">
        <v>0.05</v>
      </c>
      <c r="H140" s="28">
        <v>45638</v>
      </c>
      <c r="I140" s="27">
        <v>268</v>
      </c>
      <c r="J140" s="27">
        <f t="shared" si="8"/>
        <v>40.301500000000004</v>
      </c>
      <c r="K140" s="29">
        <f t="shared" ca="1" si="9"/>
        <v>46097.460787847223</v>
      </c>
    </row>
    <row r="141" spans="1:11" x14ac:dyDescent="0.25">
      <c r="A141" s="26" t="s">
        <v>28</v>
      </c>
      <c r="B141" s="27" t="s">
        <v>26</v>
      </c>
      <c r="C141" s="27" t="s">
        <v>34</v>
      </c>
      <c r="D141" s="27" t="s">
        <v>27</v>
      </c>
      <c r="E141" s="27">
        <v>1432.47</v>
      </c>
      <c r="F141" s="27">
        <v>16</v>
      </c>
      <c r="G141" s="27">
        <v>0.15</v>
      </c>
      <c r="H141" s="28">
        <v>45640</v>
      </c>
      <c r="I141" s="27">
        <v>426.16</v>
      </c>
      <c r="J141" s="27">
        <f t="shared" si="8"/>
        <v>214.87049999999999</v>
      </c>
      <c r="K141" s="29">
        <f t="shared" ca="1" si="9"/>
        <v>46097.460787847223</v>
      </c>
    </row>
    <row r="142" spans="1:11" x14ac:dyDescent="0.25">
      <c r="A142" s="26" t="s">
        <v>74</v>
      </c>
      <c r="B142" s="27" t="s">
        <v>29</v>
      </c>
      <c r="C142" s="27" t="s">
        <v>34</v>
      </c>
      <c r="D142" s="27" t="s">
        <v>21</v>
      </c>
      <c r="E142" s="27">
        <v>1488.58</v>
      </c>
      <c r="F142" s="27">
        <v>10</v>
      </c>
      <c r="G142" s="27">
        <v>0.15</v>
      </c>
      <c r="H142" s="28">
        <v>45640</v>
      </c>
      <c r="I142" s="27">
        <v>316.32</v>
      </c>
      <c r="J142" s="27">
        <f t="shared" si="8"/>
        <v>223.28699999999998</v>
      </c>
      <c r="K142" s="29">
        <f t="shared" ca="1" si="9"/>
        <v>46097.460787847223</v>
      </c>
    </row>
    <row r="143" spans="1:11" x14ac:dyDescent="0.25">
      <c r="A143" s="26" t="s">
        <v>30</v>
      </c>
      <c r="B143" s="27" t="s">
        <v>66</v>
      </c>
      <c r="C143" s="27" t="s">
        <v>18</v>
      </c>
      <c r="D143" s="27" t="s">
        <v>12</v>
      </c>
      <c r="E143" s="27">
        <v>1231.26</v>
      </c>
      <c r="F143" s="27">
        <v>9</v>
      </c>
      <c r="G143" s="27">
        <v>0</v>
      </c>
      <c r="H143" s="28">
        <v>45646</v>
      </c>
      <c r="I143" s="27">
        <v>492.5</v>
      </c>
      <c r="J143" s="27">
        <f t="shared" si="8"/>
        <v>0</v>
      </c>
      <c r="K143" s="29">
        <f t="shared" ca="1" si="9"/>
        <v>46097.460787847223</v>
      </c>
    </row>
    <row r="144" spans="1:11" x14ac:dyDescent="0.25">
      <c r="A144" s="26" t="s">
        <v>30</v>
      </c>
      <c r="B144" s="27" t="s">
        <v>43</v>
      </c>
      <c r="C144" s="27" t="s">
        <v>11</v>
      </c>
      <c r="D144" s="27" t="s">
        <v>21</v>
      </c>
      <c r="E144" s="27">
        <v>1161.67</v>
      </c>
      <c r="F144" s="27">
        <v>19</v>
      </c>
      <c r="G144" s="27">
        <v>0.2</v>
      </c>
      <c r="H144" s="28">
        <v>45647</v>
      </c>
      <c r="I144" s="27">
        <v>232.33</v>
      </c>
      <c r="J144" s="27">
        <f t="shared" si="8"/>
        <v>232.33400000000003</v>
      </c>
      <c r="K144" s="29">
        <f t="shared" ca="1" si="9"/>
        <v>46097.460787847223</v>
      </c>
    </row>
    <row r="145" spans="1:11" x14ac:dyDescent="0.25">
      <c r="A145" s="26" t="s">
        <v>49</v>
      </c>
      <c r="B145" s="27" t="s">
        <v>45</v>
      </c>
      <c r="C145" s="27" t="s">
        <v>34</v>
      </c>
      <c r="D145" s="27" t="s">
        <v>39</v>
      </c>
      <c r="E145" s="27">
        <v>388.23</v>
      </c>
      <c r="F145" s="27">
        <v>16</v>
      </c>
      <c r="G145" s="27">
        <v>0.05</v>
      </c>
      <c r="H145" s="28">
        <v>45650</v>
      </c>
      <c r="I145" s="27">
        <v>165.97</v>
      </c>
      <c r="J145" s="27">
        <f t="shared" si="8"/>
        <v>19.411500000000004</v>
      </c>
      <c r="K145" s="29">
        <f t="shared" ca="1" si="9"/>
        <v>46097.460787847223</v>
      </c>
    </row>
    <row r="146" spans="1:11" x14ac:dyDescent="0.25">
      <c r="A146" s="26" t="s">
        <v>72</v>
      </c>
      <c r="B146" s="27" t="s">
        <v>31</v>
      </c>
      <c r="C146" s="27" t="s">
        <v>24</v>
      </c>
      <c r="D146" s="27" t="s">
        <v>15</v>
      </c>
      <c r="E146" s="27">
        <v>1589.42</v>
      </c>
      <c r="F146" s="27">
        <v>6</v>
      </c>
      <c r="G146" s="27">
        <v>0.15</v>
      </c>
      <c r="H146" s="28">
        <v>45651</v>
      </c>
      <c r="I146" s="27">
        <v>675.5</v>
      </c>
      <c r="J146" s="27">
        <f t="shared" si="8"/>
        <v>238.41300000000001</v>
      </c>
      <c r="K146" s="29">
        <f t="shared" ca="1" si="9"/>
        <v>46097.460787847223</v>
      </c>
    </row>
    <row r="147" spans="1:11" x14ac:dyDescent="0.25">
      <c r="A147" s="26" t="s">
        <v>28</v>
      </c>
      <c r="B147" s="27" t="s">
        <v>71</v>
      </c>
      <c r="C147" s="27" t="s">
        <v>24</v>
      </c>
      <c r="D147" s="27" t="s">
        <v>15</v>
      </c>
      <c r="E147" s="27">
        <v>336.66</v>
      </c>
      <c r="F147" s="27">
        <v>13</v>
      </c>
      <c r="G147" s="27">
        <v>0.2</v>
      </c>
      <c r="H147" s="28">
        <v>45651</v>
      </c>
      <c r="I147" s="27">
        <v>134.66</v>
      </c>
      <c r="J147" s="27">
        <f t="shared" si="8"/>
        <v>67.332000000000008</v>
      </c>
      <c r="K147" s="29">
        <f t="shared" ca="1" si="9"/>
        <v>46097.460787847223</v>
      </c>
    </row>
    <row r="148" spans="1:11" x14ac:dyDescent="0.25">
      <c r="A148" s="26" t="s">
        <v>49</v>
      </c>
      <c r="B148" s="27" t="s">
        <v>23</v>
      </c>
      <c r="C148" s="27" t="s">
        <v>11</v>
      </c>
      <c r="D148" s="27" t="s">
        <v>12</v>
      </c>
      <c r="E148" s="27">
        <v>1353.79</v>
      </c>
      <c r="F148" s="27">
        <v>14</v>
      </c>
      <c r="G148" s="27">
        <v>0.1</v>
      </c>
      <c r="H148" s="28">
        <v>45656</v>
      </c>
      <c r="I148" s="27">
        <v>487.36</v>
      </c>
      <c r="J148" s="27">
        <f t="shared" si="8"/>
        <v>135.37899999999999</v>
      </c>
      <c r="K148" s="29">
        <f t="shared" ca="1" si="9"/>
        <v>46097.460787847223</v>
      </c>
    </row>
    <row r="149" spans="1:11" x14ac:dyDescent="0.25">
      <c r="A149" s="26" t="s">
        <v>63</v>
      </c>
      <c r="B149" s="27" t="s">
        <v>69</v>
      </c>
      <c r="C149" s="27" t="s">
        <v>34</v>
      </c>
      <c r="D149" s="27" t="s">
        <v>15</v>
      </c>
      <c r="E149" s="27">
        <v>662.61</v>
      </c>
      <c r="F149" s="27">
        <v>11</v>
      </c>
      <c r="G149" s="27">
        <v>0.05</v>
      </c>
      <c r="H149" s="28">
        <v>45658</v>
      </c>
      <c r="I149" s="27">
        <v>314.74</v>
      </c>
      <c r="J149" s="27">
        <f t="shared" si="8"/>
        <v>33.130500000000005</v>
      </c>
      <c r="K149" s="29">
        <f t="shared" ca="1" si="9"/>
        <v>46097.460787847223</v>
      </c>
    </row>
    <row r="150" spans="1:11" x14ac:dyDescent="0.25">
      <c r="A150" s="26" t="s">
        <v>52</v>
      </c>
      <c r="B150" s="27" t="s">
        <v>48</v>
      </c>
      <c r="C150" s="27" t="s">
        <v>24</v>
      </c>
      <c r="D150" s="27" t="s">
        <v>39</v>
      </c>
      <c r="E150" s="27">
        <v>309.42</v>
      </c>
      <c r="F150" s="27">
        <v>1</v>
      </c>
      <c r="G150" s="27">
        <v>0.2</v>
      </c>
      <c r="H150" s="28">
        <v>45658</v>
      </c>
      <c r="I150" s="27">
        <v>111.39</v>
      </c>
      <c r="J150" s="27">
        <f t="shared" si="8"/>
        <v>61.884000000000007</v>
      </c>
      <c r="K150" s="29">
        <f t="shared" ca="1" si="9"/>
        <v>46097.460787847223</v>
      </c>
    </row>
    <row r="151" spans="1:11" x14ac:dyDescent="0.25">
      <c r="A151" s="26" t="s">
        <v>63</v>
      </c>
      <c r="B151" s="27" t="s">
        <v>29</v>
      </c>
      <c r="C151" s="27" t="s">
        <v>24</v>
      </c>
      <c r="D151" s="27" t="s">
        <v>12</v>
      </c>
      <c r="E151" s="27">
        <v>884.63</v>
      </c>
      <c r="F151" s="27">
        <v>18</v>
      </c>
      <c r="G151" s="27">
        <v>0.1</v>
      </c>
      <c r="H151" s="28">
        <v>45659</v>
      </c>
      <c r="I151" s="27">
        <v>318.47000000000003</v>
      </c>
      <c r="J151" s="27">
        <f t="shared" si="8"/>
        <v>88.463000000000008</v>
      </c>
      <c r="K151" s="29">
        <f t="shared" ca="1" si="9"/>
        <v>46097.460787847223</v>
      </c>
    </row>
    <row r="152" spans="1:11" x14ac:dyDescent="0.25">
      <c r="A152" s="26" t="s">
        <v>52</v>
      </c>
      <c r="B152" s="27" t="s">
        <v>23</v>
      </c>
      <c r="C152" s="27" t="s">
        <v>34</v>
      </c>
      <c r="D152" s="27" t="s">
        <v>39</v>
      </c>
      <c r="E152" s="27">
        <v>745.05</v>
      </c>
      <c r="F152" s="27">
        <v>10</v>
      </c>
      <c r="G152" s="27">
        <v>0.1</v>
      </c>
      <c r="H152" s="28">
        <v>45660</v>
      </c>
      <c r="I152" s="27">
        <v>301.75</v>
      </c>
      <c r="J152" s="27">
        <f t="shared" si="8"/>
        <v>74.504999999999995</v>
      </c>
      <c r="K152" s="29">
        <f t="shared" ca="1" si="9"/>
        <v>46097.460787847223</v>
      </c>
    </row>
    <row r="153" spans="1:11" x14ac:dyDescent="0.25">
      <c r="A153" s="26" t="s">
        <v>60</v>
      </c>
      <c r="B153" s="27" t="s">
        <v>17</v>
      </c>
      <c r="C153" s="27" t="s">
        <v>20</v>
      </c>
      <c r="D153" s="27" t="s">
        <v>15</v>
      </c>
      <c r="E153" s="27">
        <v>870.23</v>
      </c>
      <c r="F153" s="27">
        <v>5</v>
      </c>
      <c r="G153" s="27">
        <v>0.05</v>
      </c>
      <c r="H153" s="28">
        <v>45660</v>
      </c>
      <c r="I153" s="27">
        <v>413.36</v>
      </c>
      <c r="J153" s="27">
        <f t="shared" si="8"/>
        <v>43.511500000000005</v>
      </c>
      <c r="K153" s="29">
        <f t="shared" ca="1" si="9"/>
        <v>46097.460787847223</v>
      </c>
    </row>
    <row r="154" spans="1:11" x14ac:dyDescent="0.25">
      <c r="A154" s="26" t="s">
        <v>35</v>
      </c>
      <c r="B154" s="27" t="s">
        <v>29</v>
      </c>
      <c r="C154" s="27" t="s">
        <v>11</v>
      </c>
      <c r="D154" s="27" t="s">
        <v>27</v>
      </c>
      <c r="E154" s="27">
        <v>862.19</v>
      </c>
      <c r="F154" s="27">
        <v>18</v>
      </c>
      <c r="G154" s="27">
        <v>0.05</v>
      </c>
      <c r="H154" s="28">
        <v>45663</v>
      </c>
      <c r="I154" s="27">
        <v>286.68</v>
      </c>
      <c r="J154" s="27">
        <f t="shared" si="8"/>
        <v>43.109500000000004</v>
      </c>
      <c r="K154" s="29">
        <f t="shared" ca="1" si="9"/>
        <v>46097.460787847223</v>
      </c>
    </row>
    <row r="155" spans="1:11" x14ac:dyDescent="0.25">
      <c r="A155" s="26" t="s">
        <v>73</v>
      </c>
      <c r="B155" s="27" t="s">
        <v>59</v>
      </c>
      <c r="C155" s="27" t="s">
        <v>24</v>
      </c>
      <c r="D155" s="27" t="s">
        <v>15</v>
      </c>
      <c r="E155" s="27">
        <v>1171.18</v>
      </c>
      <c r="F155" s="27">
        <v>19</v>
      </c>
      <c r="G155" s="27">
        <v>0.05</v>
      </c>
      <c r="H155" s="28">
        <v>45667</v>
      </c>
      <c r="I155" s="27">
        <v>556.30999999999995</v>
      </c>
      <c r="J155" s="27">
        <f t="shared" si="8"/>
        <v>58.559000000000005</v>
      </c>
      <c r="K155" s="29">
        <f t="shared" ca="1" si="9"/>
        <v>46097.460787847223</v>
      </c>
    </row>
    <row r="156" spans="1:11" x14ac:dyDescent="0.25">
      <c r="A156" s="26" t="s">
        <v>58</v>
      </c>
      <c r="B156" s="27" t="s">
        <v>14</v>
      </c>
      <c r="C156" s="27" t="s">
        <v>20</v>
      </c>
      <c r="D156" s="27" t="s">
        <v>27</v>
      </c>
      <c r="E156" s="27">
        <v>1054.56</v>
      </c>
      <c r="F156" s="27">
        <v>11</v>
      </c>
      <c r="G156" s="27">
        <v>0.1</v>
      </c>
      <c r="H156" s="28">
        <v>45669</v>
      </c>
      <c r="I156" s="27">
        <v>332.19</v>
      </c>
      <c r="J156" s="27">
        <f t="shared" si="8"/>
        <v>105.456</v>
      </c>
      <c r="K156" s="29">
        <f t="shared" ca="1" si="9"/>
        <v>46097.460787847223</v>
      </c>
    </row>
    <row r="157" spans="1:11" x14ac:dyDescent="0.25">
      <c r="A157" s="26" t="s">
        <v>58</v>
      </c>
      <c r="B157" s="27" t="s">
        <v>23</v>
      </c>
      <c r="C157" s="27" t="s">
        <v>24</v>
      </c>
      <c r="D157" s="27" t="s">
        <v>21</v>
      </c>
      <c r="E157" s="27">
        <v>1681.21</v>
      </c>
      <c r="F157" s="27">
        <v>5</v>
      </c>
      <c r="G157" s="27">
        <v>0.2</v>
      </c>
      <c r="H157" s="28">
        <v>45670</v>
      </c>
      <c r="I157" s="27">
        <v>336.24</v>
      </c>
      <c r="J157" s="27">
        <f t="shared" si="8"/>
        <v>336.24200000000002</v>
      </c>
      <c r="K157" s="29">
        <f t="shared" ca="1" si="9"/>
        <v>46097.460787847223</v>
      </c>
    </row>
    <row r="158" spans="1:11" x14ac:dyDescent="0.25">
      <c r="A158" s="26" t="s">
        <v>58</v>
      </c>
      <c r="B158" s="27" t="s">
        <v>36</v>
      </c>
      <c r="C158" s="27" t="s">
        <v>11</v>
      </c>
      <c r="D158" s="27" t="s">
        <v>15</v>
      </c>
      <c r="E158" s="27">
        <v>379.77</v>
      </c>
      <c r="F158" s="27">
        <v>9</v>
      </c>
      <c r="G158" s="27">
        <v>0.05</v>
      </c>
      <c r="H158" s="28">
        <v>45673</v>
      </c>
      <c r="I158" s="27">
        <v>180.39</v>
      </c>
      <c r="J158" s="27">
        <f t="shared" si="8"/>
        <v>18.988499999999998</v>
      </c>
      <c r="K158" s="29">
        <f t="shared" ca="1" si="9"/>
        <v>46097.460787847223</v>
      </c>
    </row>
    <row r="159" spans="1:11" x14ac:dyDescent="0.25">
      <c r="A159" s="26" t="s">
        <v>44</v>
      </c>
      <c r="B159" s="27" t="s">
        <v>45</v>
      </c>
      <c r="C159" s="27" t="s">
        <v>34</v>
      </c>
      <c r="D159" s="27" t="s">
        <v>15</v>
      </c>
      <c r="E159" s="27">
        <v>1076.33</v>
      </c>
      <c r="F159" s="27">
        <v>2</v>
      </c>
      <c r="G159" s="27">
        <v>0.1</v>
      </c>
      <c r="H159" s="28">
        <v>45674</v>
      </c>
      <c r="I159" s="27">
        <v>484.35</v>
      </c>
      <c r="J159" s="27">
        <f t="shared" si="8"/>
        <v>107.633</v>
      </c>
      <c r="K159" s="29">
        <f t="shared" ca="1" si="9"/>
        <v>46097.460787847223</v>
      </c>
    </row>
    <row r="160" spans="1:11" x14ac:dyDescent="0.25">
      <c r="A160" s="26" t="s">
        <v>44</v>
      </c>
      <c r="B160" s="27" t="s">
        <v>31</v>
      </c>
      <c r="C160" s="27" t="s">
        <v>34</v>
      </c>
      <c r="D160" s="27" t="s">
        <v>39</v>
      </c>
      <c r="E160" s="27">
        <v>1250.71</v>
      </c>
      <c r="F160" s="27">
        <v>7</v>
      </c>
      <c r="G160" s="27">
        <v>0</v>
      </c>
      <c r="H160" s="28">
        <v>45674</v>
      </c>
      <c r="I160" s="27">
        <v>562.82000000000005</v>
      </c>
      <c r="J160" s="27">
        <f t="shared" si="8"/>
        <v>0</v>
      </c>
      <c r="K160" s="29">
        <f t="shared" ca="1" si="9"/>
        <v>46097.460787847223</v>
      </c>
    </row>
    <row r="161" spans="1:11" x14ac:dyDescent="0.25">
      <c r="A161" s="26" t="s">
        <v>40</v>
      </c>
      <c r="B161" s="27" t="s">
        <v>17</v>
      </c>
      <c r="C161" s="27" t="s">
        <v>20</v>
      </c>
      <c r="D161" s="27" t="s">
        <v>15</v>
      </c>
      <c r="E161" s="27">
        <v>1118.3399999999999</v>
      </c>
      <c r="F161" s="27">
        <v>6</v>
      </c>
      <c r="G161" s="27">
        <v>0.2</v>
      </c>
      <c r="H161" s="28">
        <v>45674</v>
      </c>
      <c r="I161" s="27">
        <v>447.34</v>
      </c>
      <c r="J161" s="27">
        <f t="shared" si="8"/>
        <v>223.66800000000001</v>
      </c>
      <c r="K161" s="29">
        <f t="shared" ca="1" si="9"/>
        <v>46097.460787847223</v>
      </c>
    </row>
    <row r="162" spans="1:11" x14ac:dyDescent="0.25">
      <c r="A162" s="26" t="s">
        <v>70</v>
      </c>
      <c r="B162" s="27" t="s">
        <v>53</v>
      </c>
      <c r="C162" s="27" t="s">
        <v>24</v>
      </c>
      <c r="D162" s="27" t="s">
        <v>15</v>
      </c>
      <c r="E162" s="27">
        <v>1622.62</v>
      </c>
      <c r="F162" s="27">
        <v>12</v>
      </c>
      <c r="G162" s="27">
        <v>0.2</v>
      </c>
      <c r="H162" s="28">
        <v>45677</v>
      </c>
      <c r="I162" s="27">
        <v>649.04999999999995</v>
      </c>
      <c r="J162" s="27">
        <f t="shared" ref="J162:J193" si="10">E162*G162</f>
        <v>324.524</v>
      </c>
      <c r="K162" s="29">
        <f t="shared" ref="K162:K193" ca="1" si="11">NOW()</f>
        <v>46097.460787847223</v>
      </c>
    </row>
    <row r="163" spans="1:11" x14ac:dyDescent="0.25">
      <c r="A163" s="26" t="s">
        <v>75</v>
      </c>
      <c r="B163" s="27" t="s">
        <v>48</v>
      </c>
      <c r="C163" s="27" t="s">
        <v>24</v>
      </c>
      <c r="D163" s="27" t="s">
        <v>12</v>
      </c>
      <c r="E163" s="27">
        <v>640.64</v>
      </c>
      <c r="F163" s="27">
        <v>11</v>
      </c>
      <c r="G163" s="27">
        <v>0.2</v>
      </c>
      <c r="H163" s="28">
        <v>45678</v>
      </c>
      <c r="I163" s="27">
        <v>205</v>
      </c>
      <c r="J163" s="27">
        <f t="shared" si="10"/>
        <v>128.12800000000001</v>
      </c>
      <c r="K163" s="29">
        <f t="shared" ca="1" si="11"/>
        <v>46097.460787847223</v>
      </c>
    </row>
    <row r="164" spans="1:11" x14ac:dyDescent="0.25">
      <c r="A164" s="26" t="s">
        <v>22</v>
      </c>
      <c r="B164" s="27" t="s">
        <v>43</v>
      </c>
      <c r="C164" s="27" t="s">
        <v>11</v>
      </c>
      <c r="D164" s="27" t="s">
        <v>15</v>
      </c>
      <c r="E164" s="27">
        <v>585.16</v>
      </c>
      <c r="F164" s="27">
        <v>17</v>
      </c>
      <c r="G164" s="27">
        <v>0.1</v>
      </c>
      <c r="H164" s="28">
        <v>45684</v>
      </c>
      <c r="I164" s="27">
        <v>263.32</v>
      </c>
      <c r="J164" s="27">
        <f t="shared" si="10"/>
        <v>58.515999999999998</v>
      </c>
      <c r="K164" s="29">
        <f t="shared" ca="1" si="11"/>
        <v>46097.460787847223</v>
      </c>
    </row>
    <row r="165" spans="1:11" x14ac:dyDescent="0.25">
      <c r="A165" s="26" t="s">
        <v>22</v>
      </c>
      <c r="B165" s="27" t="s">
        <v>31</v>
      </c>
      <c r="C165" s="27" t="s">
        <v>18</v>
      </c>
      <c r="D165" s="27" t="s">
        <v>15</v>
      </c>
      <c r="E165" s="27">
        <v>1109.98</v>
      </c>
      <c r="F165" s="27">
        <v>5</v>
      </c>
      <c r="G165" s="27">
        <v>0.2</v>
      </c>
      <c r="H165" s="28">
        <v>45690</v>
      </c>
      <c r="I165" s="27">
        <v>443.99</v>
      </c>
      <c r="J165" s="27">
        <f t="shared" si="10"/>
        <v>221.99600000000001</v>
      </c>
      <c r="K165" s="29">
        <f t="shared" ca="1" si="11"/>
        <v>46097.460787847223</v>
      </c>
    </row>
    <row r="166" spans="1:11" x14ac:dyDescent="0.25">
      <c r="A166" s="26" t="s">
        <v>58</v>
      </c>
      <c r="B166" s="27" t="s">
        <v>45</v>
      </c>
      <c r="C166" s="27" t="s">
        <v>18</v>
      </c>
      <c r="D166" s="27" t="s">
        <v>12</v>
      </c>
      <c r="E166" s="27">
        <v>1098.08</v>
      </c>
      <c r="F166" s="27">
        <v>9</v>
      </c>
      <c r="G166" s="27">
        <v>0.1</v>
      </c>
      <c r="H166" s="28">
        <v>45692</v>
      </c>
      <c r="I166" s="27">
        <v>395.31</v>
      </c>
      <c r="J166" s="27">
        <f t="shared" si="10"/>
        <v>109.80799999999999</v>
      </c>
      <c r="K166" s="29">
        <f t="shared" ca="1" si="11"/>
        <v>46097.460787847223</v>
      </c>
    </row>
    <row r="167" spans="1:11" x14ac:dyDescent="0.25">
      <c r="A167" s="26" t="s">
        <v>65</v>
      </c>
      <c r="B167" s="27" t="s">
        <v>48</v>
      </c>
      <c r="C167" s="27" t="s">
        <v>11</v>
      </c>
      <c r="D167" s="27" t="s">
        <v>39</v>
      </c>
      <c r="E167" s="27">
        <v>827.25</v>
      </c>
      <c r="F167" s="27">
        <v>7</v>
      </c>
      <c r="G167" s="27">
        <v>0.1</v>
      </c>
      <c r="H167" s="28">
        <v>45693</v>
      </c>
      <c r="I167" s="27">
        <v>335.04</v>
      </c>
      <c r="J167" s="27">
        <f t="shared" si="10"/>
        <v>82.725000000000009</v>
      </c>
      <c r="K167" s="29">
        <f t="shared" ca="1" si="11"/>
        <v>46097.460787847223</v>
      </c>
    </row>
    <row r="168" spans="1:11" x14ac:dyDescent="0.25">
      <c r="A168" s="26" t="s">
        <v>70</v>
      </c>
      <c r="B168" s="27" t="s">
        <v>29</v>
      </c>
      <c r="C168" s="27" t="s">
        <v>34</v>
      </c>
      <c r="D168" s="27" t="s">
        <v>15</v>
      </c>
      <c r="E168" s="27">
        <v>741.88</v>
      </c>
      <c r="F168" s="27">
        <v>16</v>
      </c>
      <c r="G168" s="27">
        <v>0.1</v>
      </c>
      <c r="H168" s="28">
        <v>45695</v>
      </c>
      <c r="I168" s="27">
        <v>333.85</v>
      </c>
      <c r="J168" s="27">
        <f t="shared" si="10"/>
        <v>74.188000000000002</v>
      </c>
      <c r="K168" s="29">
        <f t="shared" ca="1" si="11"/>
        <v>46097.460787847223</v>
      </c>
    </row>
    <row r="169" spans="1:11" x14ac:dyDescent="0.25">
      <c r="A169" s="26" t="s">
        <v>72</v>
      </c>
      <c r="B169" s="27" t="s">
        <v>10</v>
      </c>
      <c r="C169" s="27" t="s">
        <v>18</v>
      </c>
      <c r="D169" s="27" t="s">
        <v>39</v>
      </c>
      <c r="E169" s="27">
        <v>1311.26</v>
      </c>
      <c r="F169" s="27">
        <v>6</v>
      </c>
      <c r="G169" s="27">
        <v>0.1</v>
      </c>
      <c r="H169" s="28">
        <v>45698</v>
      </c>
      <c r="I169" s="27">
        <v>531.05999999999995</v>
      </c>
      <c r="J169" s="27">
        <f t="shared" si="10"/>
        <v>131.126</v>
      </c>
      <c r="K169" s="29">
        <f t="shared" ca="1" si="11"/>
        <v>46097.460787847223</v>
      </c>
    </row>
    <row r="170" spans="1:11" x14ac:dyDescent="0.25">
      <c r="A170" s="26" t="s">
        <v>72</v>
      </c>
      <c r="B170" s="27" t="s">
        <v>31</v>
      </c>
      <c r="C170" s="27" t="s">
        <v>20</v>
      </c>
      <c r="D170" s="27" t="s">
        <v>39</v>
      </c>
      <c r="E170" s="27">
        <v>573.32000000000005</v>
      </c>
      <c r="F170" s="27">
        <v>19</v>
      </c>
      <c r="G170" s="27">
        <v>0.1</v>
      </c>
      <c r="H170" s="28">
        <v>45703</v>
      </c>
      <c r="I170" s="27">
        <v>232.19</v>
      </c>
      <c r="J170" s="27">
        <f t="shared" si="10"/>
        <v>57.332000000000008</v>
      </c>
      <c r="K170" s="29">
        <f t="shared" ca="1" si="11"/>
        <v>46097.460787847223</v>
      </c>
    </row>
    <row r="171" spans="1:11" x14ac:dyDescent="0.25">
      <c r="A171" s="26" t="s">
        <v>52</v>
      </c>
      <c r="B171" s="27" t="s">
        <v>23</v>
      </c>
      <c r="C171" s="27" t="s">
        <v>11</v>
      </c>
      <c r="D171" s="27" t="s">
        <v>21</v>
      </c>
      <c r="E171" s="27">
        <v>1115.22</v>
      </c>
      <c r="F171" s="27">
        <v>14</v>
      </c>
      <c r="G171" s="27">
        <v>0.2</v>
      </c>
      <c r="H171" s="28">
        <v>45705</v>
      </c>
      <c r="I171" s="27">
        <v>223.04</v>
      </c>
      <c r="J171" s="27">
        <f t="shared" si="10"/>
        <v>223.04400000000001</v>
      </c>
      <c r="K171" s="29">
        <f t="shared" ca="1" si="11"/>
        <v>46097.460787847223</v>
      </c>
    </row>
    <row r="172" spans="1:11" x14ac:dyDescent="0.25">
      <c r="A172" s="26" t="s">
        <v>13</v>
      </c>
      <c r="B172" s="27" t="s">
        <v>45</v>
      </c>
      <c r="C172" s="27" t="s">
        <v>24</v>
      </c>
      <c r="D172" s="27" t="s">
        <v>15</v>
      </c>
      <c r="E172" s="27">
        <v>845.84</v>
      </c>
      <c r="F172" s="27">
        <v>4</v>
      </c>
      <c r="G172" s="27">
        <v>0</v>
      </c>
      <c r="H172" s="28">
        <v>45707</v>
      </c>
      <c r="I172" s="27">
        <v>422.92</v>
      </c>
      <c r="J172" s="27">
        <f t="shared" si="10"/>
        <v>0</v>
      </c>
      <c r="K172" s="29">
        <f t="shared" ca="1" si="11"/>
        <v>46097.460787847223</v>
      </c>
    </row>
    <row r="173" spans="1:11" x14ac:dyDescent="0.25">
      <c r="A173" s="26" t="s">
        <v>30</v>
      </c>
      <c r="B173" s="27" t="s">
        <v>55</v>
      </c>
      <c r="C173" s="27" t="s">
        <v>11</v>
      </c>
      <c r="D173" s="27" t="s">
        <v>21</v>
      </c>
      <c r="E173" s="27">
        <v>1029.8</v>
      </c>
      <c r="F173" s="27">
        <v>3</v>
      </c>
      <c r="G173" s="27">
        <v>0</v>
      </c>
      <c r="H173" s="28">
        <v>45708</v>
      </c>
      <c r="I173" s="27">
        <v>257.45</v>
      </c>
      <c r="J173" s="27">
        <f t="shared" si="10"/>
        <v>0</v>
      </c>
      <c r="K173" s="29">
        <f t="shared" ca="1" si="11"/>
        <v>46097.460787847223</v>
      </c>
    </row>
    <row r="174" spans="1:11" x14ac:dyDescent="0.25">
      <c r="A174" s="26" t="s">
        <v>32</v>
      </c>
      <c r="B174" s="27" t="s">
        <v>31</v>
      </c>
      <c r="C174" s="27" t="s">
        <v>24</v>
      </c>
      <c r="D174" s="27" t="s">
        <v>12</v>
      </c>
      <c r="E174" s="27">
        <v>1189.83</v>
      </c>
      <c r="F174" s="27">
        <v>2</v>
      </c>
      <c r="G174" s="27">
        <v>0.2</v>
      </c>
      <c r="H174" s="28">
        <v>45709</v>
      </c>
      <c r="I174" s="27">
        <v>380.75</v>
      </c>
      <c r="J174" s="27">
        <f t="shared" si="10"/>
        <v>237.96600000000001</v>
      </c>
      <c r="K174" s="29">
        <f t="shared" ca="1" si="11"/>
        <v>46097.460787847223</v>
      </c>
    </row>
    <row r="175" spans="1:11" x14ac:dyDescent="0.25">
      <c r="A175" s="26" t="s">
        <v>67</v>
      </c>
      <c r="B175" s="27" t="s">
        <v>43</v>
      </c>
      <c r="C175" s="27" t="s">
        <v>20</v>
      </c>
      <c r="D175" s="27" t="s">
        <v>12</v>
      </c>
      <c r="E175" s="27">
        <v>704.28</v>
      </c>
      <c r="F175" s="27">
        <v>15</v>
      </c>
      <c r="G175" s="27">
        <v>0.2</v>
      </c>
      <c r="H175" s="28">
        <v>45712</v>
      </c>
      <c r="I175" s="27">
        <v>225.37</v>
      </c>
      <c r="J175" s="27">
        <f t="shared" si="10"/>
        <v>140.85599999999999</v>
      </c>
      <c r="K175" s="29">
        <f t="shared" ca="1" si="11"/>
        <v>46097.460787847223</v>
      </c>
    </row>
    <row r="176" spans="1:11" x14ac:dyDescent="0.25">
      <c r="A176" s="26" t="s">
        <v>65</v>
      </c>
      <c r="B176" s="27" t="s">
        <v>47</v>
      </c>
      <c r="C176" s="27" t="s">
        <v>34</v>
      </c>
      <c r="D176" s="27" t="s">
        <v>39</v>
      </c>
      <c r="E176" s="27">
        <v>1618.22</v>
      </c>
      <c r="F176" s="27">
        <v>12</v>
      </c>
      <c r="G176" s="27">
        <v>0.2</v>
      </c>
      <c r="H176" s="28">
        <v>45712</v>
      </c>
      <c r="I176" s="27">
        <v>582.55999999999995</v>
      </c>
      <c r="J176" s="27">
        <f t="shared" si="10"/>
        <v>323.64400000000001</v>
      </c>
      <c r="K176" s="29">
        <f t="shared" ca="1" si="11"/>
        <v>46097.460787847223</v>
      </c>
    </row>
    <row r="177" spans="1:11" x14ac:dyDescent="0.25">
      <c r="A177" s="26" t="s">
        <v>73</v>
      </c>
      <c r="B177" s="27" t="s">
        <v>53</v>
      </c>
      <c r="C177" s="27" t="s">
        <v>34</v>
      </c>
      <c r="D177" s="27" t="s">
        <v>12</v>
      </c>
      <c r="E177" s="27">
        <v>1014.43</v>
      </c>
      <c r="F177" s="27">
        <v>2</v>
      </c>
      <c r="G177" s="27">
        <v>0.15</v>
      </c>
      <c r="H177" s="28">
        <v>45713</v>
      </c>
      <c r="I177" s="27">
        <v>344.91</v>
      </c>
      <c r="J177" s="27">
        <f t="shared" si="10"/>
        <v>152.16449999999998</v>
      </c>
      <c r="K177" s="29">
        <f t="shared" ca="1" si="11"/>
        <v>46097.460787847223</v>
      </c>
    </row>
    <row r="178" spans="1:11" x14ac:dyDescent="0.25">
      <c r="A178" s="26" t="s">
        <v>75</v>
      </c>
      <c r="B178" s="27" t="s">
        <v>31</v>
      </c>
      <c r="C178" s="27" t="s">
        <v>34</v>
      </c>
      <c r="D178" s="27" t="s">
        <v>15</v>
      </c>
      <c r="E178" s="27">
        <v>826.97</v>
      </c>
      <c r="F178" s="27">
        <v>18</v>
      </c>
      <c r="G178" s="27">
        <v>0.2</v>
      </c>
      <c r="H178" s="28">
        <v>45715</v>
      </c>
      <c r="I178" s="27">
        <v>330.79</v>
      </c>
      <c r="J178" s="27">
        <f t="shared" si="10"/>
        <v>165.39400000000001</v>
      </c>
      <c r="K178" s="29">
        <f t="shared" ca="1" si="11"/>
        <v>46097.460787847223</v>
      </c>
    </row>
    <row r="179" spans="1:11" x14ac:dyDescent="0.25">
      <c r="A179" s="26" t="s">
        <v>16</v>
      </c>
      <c r="B179" s="27" t="s">
        <v>31</v>
      </c>
      <c r="C179" s="27" t="s">
        <v>34</v>
      </c>
      <c r="D179" s="27" t="s">
        <v>15</v>
      </c>
      <c r="E179" s="27">
        <v>1022.23</v>
      </c>
      <c r="F179" s="27">
        <v>8</v>
      </c>
      <c r="G179" s="27">
        <v>0.1</v>
      </c>
      <c r="H179" s="28">
        <v>45717</v>
      </c>
      <c r="I179" s="27">
        <v>460</v>
      </c>
      <c r="J179" s="27">
        <f t="shared" si="10"/>
        <v>102.22300000000001</v>
      </c>
      <c r="K179" s="29">
        <f t="shared" ca="1" si="11"/>
        <v>46097.460787847223</v>
      </c>
    </row>
    <row r="180" spans="1:11" x14ac:dyDescent="0.25">
      <c r="A180" s="26" t="s">
        <v>72</v>
      </c>
      <c r="B180" s="27" t="s">
        <v>29</v>
      </c>
      <c r="C180" s="27" t="s">
        <v>18</v>
      </c>
      <c r="D180" s="27" t="s">
        <v>12</v>
      </c>
      <c r="E180" s="27">
        <v>1099.69</v>
      </c>
      <c r="F180" s="27">
        <v>6</v>
      </c>
      <c r="G180" s="27">
        <v>0</v>
      </c>
      <c r="H180" s="28">
        <v>45718</v>
      </c>
      <c r="I180" s="27">
        <v>439.88</v>
      </c>
      <c r="J180" s="27">
        <f t="shared" si="10"/>
        <v>0</v>
      </c>
      <c r="K180" s="29">
        <f t="shared" ca="1" si="11"/>
        <v>46097.460787847223</v>
      </c>
    </row>
    <row r="181" spans="1:11" x14ac:dyDescent="0.25">
      <c r="A181" s="26" t="s">
        <v>52</v>
      </c>
      <c r="B181" s="27" t="s">
        <v>64</v>
      </c>
      <c r="C181" s="27" t="s">
        <v>24</v>
      </c>
      <c r="D181" s="27" t="s">
        <v>12</v>
      </c>
      <c r="E181" s="27">
        <v>710.52</v>
      </c>
      <c r="F181" s="27">
        <v>8</v>
      </c>
      <c r="G181" s="27">
        <v>0.1</v>
      </c>
      <c r="H181" s="28">
        <v>45721</v>
      </c>
      <c r="I181" s="27">
        <v>255.79</v>
      </c>
      <c r="J181" s="27">
        <f t="shared" si="10"/>
        <v>71.052000000000007</v>
      </c>
      <c r="K181" s="29">
        <f t="shared" ca="1" si="11"/>
        <v>46097.460787847223</v>
      </c>
    </row>
    <row r="182" spans="1:11" x14ac:dyDescent="0.25">
      <c r="A182" s="26" t="s">
        <v>52</v>
      </c>
      <c r="B182" s="27" t="s">
        <v>59</v>
      </c>
      <c r="C182" s="27" t="s">
        <v>24</v>
      </c>
      <c r="D182" s="27" t="s">
        <v>12</v>
      </c>
      <c r="E182" s="27">
        <v>499.18</v>
      </c>
      <c r="F182" s="27">
        <v>15</v>
      </c>
      <c r="G182" s="27">
        <v>0.2</v>
      </c>
      <c r="H182" s="28">
        <v>45724</v>
      </c>
      <c r="I182" s="27">
        <v>159.74</v>
      </c>
      <c r="J182" s="27">
        <f t="shared" si="10"/>
        <v>99.836000000000013</v>
      </c>
      <c r="K182" s="29">
        <f t="shared" ca="1" si="11"/>
        <v>46097.460787847223</v>
      </c>
    </row>
    <row r="183" spans="1:11" x14ac:dyDescent="0.25">
      <c r="A183" s="26" t="s">
        <v>37</v>
      </c>
      <c r="B183" s="27" t="s">
        <v>38</v>
      </c>
      <c r="C183" s="27" t="s">
        <v>20</v>
      </c>
      <c r="D183" s="27" t="s">
        <v>12</v>
      </c>
      <c r="E183" s="27">
        <v>1064.19</v>
      </c>
      <c r="F183" s="27">
        <v>18</v>
      </c>
      <c r="G183" s="27">
        <v>0.05</v>
      </c>
      <c r="H183" s="28">
        <v>45725</v>
      </c>
      <c r="I183" s="27">
        <v>404.39</v>
      </c>
      <c r="J183" s="27">
        <f t="shared" si="10"/>
        <v>53.209500000000006</v>
      </c>
      <c r="K183" s="29">
        <f t="shared" ca="1" si="11"/>
        <v>46097.460787847223</v>
      </c>
    </row>
    <row r="184" spans="1:11" x14ac:dyDescent="0.25">
      <c r="A184" s="26" t="s">
        <v>67</v>
      </c>
      <c r="B184" s="27" t="s">
        <v>38</v>
      </c>
      <c r="C184" s="27" t="s">
        <v>18</v>
      </c>
      <c r="D184" s="27" t="s">
        <v>39</v>
      </c>
      <c r="E184" s="27">
        <v>438.76</v>
      </c>
      <c r="F184" s="27">
        <v>18</v>
      </c>
      <c r="G184" s="27">
        <v>0.05</v>
      </c>
      <c r="H184" s="28">
        <v>45726</v>
      </c>
      <c r="I184" s="27">
        <v>187.57</v>
      </c>
      <c r="J184" s="27">
        <f t="shared" si="10"/>
        <v>21.938000000000002</v>
      </c>
      <c r="K184" s="29">
        <f t="shared" ca="1" si="11"/>
        <v>46097.460787847223</v>
      </c>
    </row>
    <row r="185" spans="1:11" x14ac:dyDescent="0.25">
      <c r="A185" s="26" t="s">
        <v>41</v>
      </c>
      <c r="B185" s="27" t="s">
        <v>55</v>
      </c>
      <c r="C185" s="27" t="s">
        <v>11</v>
      </c>
      <c r="D185" s="27" t="s">
        <v>15</v>
      </c>
      <c r="E185" s="27">
        <v>864.98</v>
      </c>
      <c r="F185" s="27">
        <v>2</v>
      </c>
      <c r="G185" s="27">
        <v>0.05</v>
      </c>
      <c r="H185" s="28">
        <v>45727</v>
      </c>
      <c r="I185" s="27">
        <v>410.87</v>
      </c>
      <c r="J185" s="27">
        <f t="shared" si="10"/>
        <v>43.249000000000002</v>
      </c>
      <c r="K185" s="29">
        <f t="shared" ca="1" si="11"/>
        <v>46097.460787847223</v>
      </c>
    </row>
    <row r="186" spans="1:11" x14ac:dyDescent="0.25">
      <c r="A186" s="26" t="s">
        <v>57</v>
      </c>
      <c r="B186" s="27" t="s">
        <v>55</v>
      </c>
      <c r="C186" s="27" t="s">
        <v>11</v>
      </c>
      <c r="D186" s="27" t="s">
        <v>27</v>
      </c>
      <c r="E186" s="27">
        <v>984.93</v>
      </c>
      <c r="F186" s="27">
        <v>14</v>
      </c>
      <c r="G186" s="27">
        <v>0.2</v>
      </c>
      <c r="H186" s="28">
        <v>45733</v>
      </c>
      <c r="I186" s="27">
        <v>275.77999999999997</v>
      </c>
      <c r="J186" s="27">
        <f t="shared" si="10"/>
        <v>196.98599999999999</v>
      </c>
      <c r="K186" s="29">
        <f t="shared" ca="1" si="11"/>
        <v>46097.460787847223</v>
      </c>
    </row>
    <row r="187" spans="1:11" x14ac:dyDescent="0.25">
      <c r="A187" s="26" t="s">
        <v>25</v>
      </c>
      <c r="B187" s="27" t="s">
        <v>55</v>
      </c>
      <c r="C187" s="27" t="s">
        <v>11</v>
      </c>
      <c r="D187" s="27" t="s">
        <v>15</v>
      </c>
      <c r="E187" s="27">
        <v>1493.49</v>
      </c>
      <c r="F187" s="27">
        <v>18</v>
      </c>
      <c r="G187" s="27">
        <v>0</v>
      </c>
      <c r="H187" s="28">
        <v>45734</v>
      </c>
      <c r="I187" s="27">
        <v>746.74</v>
      </c>
      <c r="J187" s="27">
        <f t="shared" si="10"/>
        <v>0</v>
      </c>
      <c r="K187" s="29">
        <f t="shared" ca="1" si="11"/>
        <v>46097.460787847223</v>
      </c>
    </row>
    <row r="188" spans="1:11" x14ac:dyDescent="0.25">
      <c r="A188" s="26" t="s">
        <v>32</v>
      </c>
      <c r="B188" s="27" t="s">
        <v>53</v>
      </c>
      <c r="C188" s="27" t="s">
        <v>20</v>
      </c>
      <c r="D188" s="27" t="s">
        <v>15</v>
      </c>
      <c r="E188" s="27">
        <v>689.43</v>
      </c>
      <c r="F188" s="27">
        <v>9</v>
      </c>
      <c r="G188" s="27">
        <v>0.1</v>
      </c>
      <c r="H188" s="28">
        <v>45736</v>
      </c>
      <c r="I188" s="27">
        <v>310.24</v>
      </c>
      <c r="J188" s="27">
        <f t="shared" si="10"/>
        <v>68.942999999999998</v>
      </c>
      <c r="K188" s="29">
        <f t="shared" ca="1" si="11"/>
        <v>46097.460787847223</v>
      </c>
    </row>
    <row r="189" spans="1:11" x14ac:dyDescent="0.25">
      <c r="A189" s="26" t="s">
        <v>40</v>
      </c>
      <c r="B189" s="27" t="s">
        <v>59</v>
      </c>
      <c r="C189" s="27" t="s">
        <v>20</v>
      </c>
      <c r="D189" s="27" t="s">
        <v>15</v>
      </c>
      <c r="E189" s="27">
        <v>682.24</v>
      </c>
      <c r="F189" s="27">
        <v>1</v>
      </c>
      <c r="G189" s="27">
        <v>0</v>
      </c>
      <c r="H189" s="28">
        <v>45738</v>
      </c>
      <c r="I189" s="27">
        <v>341.12</v>
      </c>
      <c r="J189" s="27">
        <f t="shared" si="10"/>
        <v>0</v>
      </c>
      <c r="K189" s="29">
        <f t="shared" ca="1" si="11"/>
        <v>46097.460787847223</v>
      </c>
    </row>
    <row r="190" spans="1:11" x14ac:dyDescent="0.25">
      <c r="A190" s="26" t="s">
        <v>41</v>
      </c>
      <c r="B190" s="27" t="s">
        <v>26</v>
      </c>
      <c r="C190" s="27" t="s">
        <v>24</v>
      </c>
      <c r="D190" s="27" t="s">
        <v>21</v>
      </c>
      <c r="E190" s="27">
        <v>458.54</v>
      </c>
      <c r="F190" s="27">
        <v>15</v>
      </c>
      <c r="G190" s="27">
        <v>0.2</v>
      </c>
      <c r="H190" s="28">
        <v>45741</v>
      </c>
      <c r="I190" s="27">
        <v>91.71</v>
      </c>
      <c r="J190" s="27">
        <f t="shared" si="10"/>
        <v>91.708000000000013</v>
      </c>
      <c r="K190" s="29">
        <f t="shared" ca="1" si="11"/>
        <v>46097.460787847223</v>
      </c>
    </row>
    <row r="191" spans="1:11" x14ac:dyDescent="0.25">
      <c r="A191" s="26" t="s">
        <v>32</v>
      </c>
      <c r="B191" s="27" t="s">
        <v>26</v>
      </c>
      <c r="C191" s="27" t="s">
        <v>20</v>
      </c>
      <c r="D191" s="27" t="s">
        <v>27</v>
      </c>
      <c r="E191" s="27">
        <v>1184.25</v>
      </c>
      <c r="F191" s="27">
        <v>11</v>
      </c>
      <c r="G191" s="27">
        <v>0.2</v>
      </c>
      <c r="H191" s="28">
        <v>45742</v>
      </c>
      <c r="I191" s="27">
        <v>331.59</v>
      </c>
      <c r="J191" s="27">
        <f t="shared" si="10"/>
        <v>236.85000000000002</v>
      </c>
      <c r="K191" s="29">
        <f t="shared" ca="1" si="11"/>
        <v>46097.460787847223</v>
      </c>
    </row>
    <row r="192" spans="1:11" x14ac:dyDescent="0.25">
      <c r="A192" s="26" t="s">
        <v>25</v>
      </c>
      <c r="B192" s="27" t="s">
        <v>10</v>
      </c>
      <c r="C192" s="27" t="s">
        <v>20</v>
      </c>
      <c r="D192" s="27" t="s">
        <v>15</v>
      </c>
      <c r="E192" s="27">
        <v>762.14</v>
      </c>
      <c r="F192" s="27">
        <v>9</v>
      </c>
      <c r="G192" s="27">
        <v>0</v>
      </c>
      <c r="H192" s="28">
        <v>45743</v>
      </c>
      <c r="I192" s="27">
        <v>381.07</v>
      </c>
      <c r="J192" s="27">
        <f t="shared" si="10"/>
        <v>0</v>
      </c>
      <c r="K192" s="29">
        <f t="shared" ca="1" si="11"/>
        <v>46097.460787847223</v>
      </c>
    </row>
    <row r="193" spans="1:11" x14ac:dyDescent="0.25">
      <c r="A193" s="26" t="s">
        <v>22</v>
      </c>
      <c r="B193" s="27" t="s">
        <v>53</v>
      </c>
      <c r="C193" s="27" t="s">
        <v>24</v>
      </c>
      <c r="D193" s="27" t="s">
        <v>12</v>
      </c>
      <c r="E193" s="27">
        <v>750.71</v>
      </c>
      <c r="F193" s="27">
        <v>10</v>
      </c>
      <c r="G193" s="27">
        <v>0.15</v>
      </c>
      <c r="H193" s="28">
        <v>45743</v>
      </c>
      <c r="I193" s="27">
        <v>255.24</v>
      </c>
      <c r="J193" s="27">
        <f t="shared" si="10"/>
        <v>112.6065</v>
      </c>
      <c r="K193" s="29">
        <f t="shared" ca="1" si="11"/>
        <v>46097.460787847223</v>
      </c>
    </row>
    <row r="194" spans="1:11" x14ac:dyDescent="0.25">
      <c r="A194" s="26" t="s">
        <v>75</v>
      </c>
      <c r="B194" s="27" t="s">
        <v>71</v>
      </c>
      <c r="C194" s="27" t="s">
        <v>34</v>
      </c>
      <c r="D194" s="27" t="s">
        <v>15</v>
      </c>
      <c r="E194" s="27">
        <v>1456.94</v>
      </c>
      <c r="F194" s="27">
        <v>14</v>
      </c>
      <c r="G194" s="27">
        <v>0.05</v>
      </c>
      <c r="H194" s="28">
        <v>45745</v>
      </c>
      <c r="I194" s="27">
        <v>692.05</v>
      </c>
      <c r="J194" s="27">
        <f t="shared" ref="J194:J201" si="12">E194*G194</f>
        <v>72.847000000000008</v>
      </c>
      <c r="K194" s="29">
        <f t="shared" ref="K194:K201" ca="1" si="13">NOW()</f>
        <v>46097.460787847223</v>
      </c>
    </row>
    <row r="195" spans="1:11" x14ac:dyDescent="0.25">
      <c r="A195" s="26" t="s">
        <v>44</v>
      </c>
      <c r="B195" s="27" t="s">
        <v>61</v>
      </c>
      <c r="C195" s="27" t="s">
        <v>18</v>
      </c>
      <c r="D195" s="27" t="s">
        <v>27</v>
      </c>
      <c r="E195" s="27">
        <v>1093.3800000000001</v>
      </c>
      <c r="F195" s="27">
        <v>17</v>
      </c>
      <c r="G195" s="27">
        <v>0.1</v>
      </c>
      <c r="H195" s="28">
        <v>45745</v>
      </c>
      <c r="I195" s="27">
        <v>344.41</v>
      </c>
      <c r="J195" s="27">
        <f t="shared" si="12"/>
        <v>109.33800000000002</v>
      </c>
      <c r="K195" s="29">
        <f t="shared" ca="1" si="13"/>
        <v>46097.460787847223</v>
      </c>
    </row>
    <row r="196" spans="1:11" x14ac:dyDescent="0.25">
      <c r="A196" s="26" t="s">
        <v>37</v>
      </c>
      <c r="B196" s="27" t="s">
        <v>43</v>
      </c>
      <c r="C196" s="27" t="s">
        <v>11</v>
      </c>
      <c r="D196" s="27" t="s">
        <v>15</v>
      </c>
      <c r="E196" s="27">
        <v>934.27</v>
      </c>
      <c r="F196" s="27">
        <v>8</v>
      </c>
      <c r="G196" s="27">
        <v>0.15</v>
      </c>
      <c r="H196" s="28">
        <v>45746</v>
      </c>
      <c r="I196" s="27">
        <v>397.06</v>
      </c>
      <c r="J196" s="27">
        <f t="shared" si="12"/>
        <v>140.1405</v>
      </c>
      <c r="K196" s="29">
        <f t="shared" ca="1" si="13"/>
        <v>46097.460787847223</v>
      </c>
    </row>
    <row r="197" spans="1:11" x14ac:dyDescent="0.25">
      <c r="A197" s="26" t="s">
        <v>70</v>
      </c>
      <c r="B197" s="27" t="s">
        <v>36</v>
      </c>
      <c r="C197" s="27" t="s">
        <v>34</v>
      </c>
      <c r="D197" s="27" t="s">
        <v>15</v>
      </c>
      <c r="E197" s="27">
        <v>1465.35</v>
      </c>
      <c r="F197" s="27">
        <v>8</v>
      </c>
      <c r="G197" s="27">
        <v>0.2</v>
      </c>
      <c r="H197" s="28">
        <v>45746</v>
      </c>
      <c r="I197" s="27">
        <v>586.14</v>
      </c>
      <c r="J197" s="27">
        <f t="shared" si="12"/>
        <v>293.07</v>
      </c>
      <c r="K197" s="29">
        <f t="shared" ca="1" si="13"/>
        <v>46097.460787847223</v>
      </c>
    </row>
    <row r="198" spans="1:11" x14ac:dyDescent="0.25">
      <c r="A198" s="26" t="s">
        <v>52</v>
      </c>
      <c r="B198" s="27" t="s">
        <v>14</v>
      </c>
      <c r="C198" s="27" t="s">
        <v>20</v>
      </c>
      <c r="D198" s="27" t="s">
        <v>39</v>
      </c>
      <c r="E198" s="27">
        <v>740.8</v>
      </c>
      <c r="F198" s="27">
        <v>3</v>
      </c>
      <c r="G198" s="27">
        <v>0</v>
      </c>
      <c r="H198" s="28">
        <v>45749</v>
      </c>
      <c r="I198" s="27">
        <v>333.36</v>
      </c>
      <c r="J198" s="27">
        <f t="shared" si="12"/>
        <v>0</v>
      </c>
      <c r="K198" s="29">
        <f t="shared" ca="1" si="13"/>
        <v>46097.460787847223</v>
      </c>
    </row>
    <row r="199" spans="1:11" x14ac:dyDescent="0.25">
      <c r="A199" s="26" t="s">
        <v>58</v>
      </c>
      <c r="B199" s="27" t="s">
        <v>43</v>
      </c>
      <c r="C199" s="27" t="s">
        <v>11</v>
      </c>
      <c r="D199" s="27" t="s">
        <v>39</v>
      </c>
      <c r="E199" s="27">
        <v>545.44000000000005</v>
      </c>
      <c r="F199" s="27">
        <v>17</v>
      </c>
      <c r="G199" s="27">
        <v>0</v>
      </c>
      <c r="H199" s="28">
        <v>45752</v>
      </c>
      <c r="I199" s="27">
        <v>245.45</v>
      </c>
      <c r="J199" s="27">
        <f t="shared" si="12"/>
        <v>0</v>
      </c>
      <c r="K199" s="29">
        <f t="shared" ca="1" si="13"/>
        <v>46097.460787847223</v>
      </c>
    </row>
    <row r="200" spans="1:11" x14ac:dyDescent="0.25">
      <c r="A200" s="26" t="s">
        <v>35</v>
      </c>
      <c r="B200" s="27" t="s">
        <v>36</v>
      </c>
      <c r="C200" s="27" t="s">
        <v>18</v>
      </c>
      <c r="D200" s="27" t="s">
        <v>12</v>
      </c>
      <c r="E200" s="27">
        <v>997.61</v>
      </c>
      <c r="F200" s="27">
        <v>8</v>
      </c>
      <c r="G200" s="27">
        <v>0.05</v>
      </c>
      <c r="H200" s="28">
        <v>45752</v>
      </c>
      <c r="I200" s="27">
        <v>379.09</v>
      </c>
      <c r="J200" s="27">
        <f t="shared" si="12"/>
        <v>49.880500000000005</v>
      </c>
      <c r="K200" s="29">
        <f t="shared" ca="1" si="13"/>
        <v>46097.460787847223</v>
      </c>
    </row>
    <row r="201" spans="1:11" x14ac:dyDescent="0.25">
      <c r="A201" s="30" t="s">
        <v>60</v>
      </c>
      <c r="B201" s="31" t="s">
        <v>36</v>
      </c>
      <c r="C201" s="31" t="s">
        <v>20</v>
      </c>
      <c r="D201" s="31" t="s">
        <v>15</v>
      </c>
      <c r="E201" s="31">
        <v>928.32</v>
      </c>
      <c r="F201" s="31">
        <v>2</v>
      </c>
      <c r="G201" s="31">
        <v>0.05</v>
      </c>
      <c r="H201" s="32">
        <v>45754</v>
      </c>
      <c r="I201" s="31">
        <v>440.95</v>
      </c>
      <c r="J201" s="31">
        <f t="shared" si="12"/>
        <v>46.416000000000004</v>
      </c>
      <c r="K201" s="33">
        <f t="shared" ca="1" si="13"/>
        <v>46097.460787847223</v>
      </c>
    </row>
    <row r="202" spans="1:11" ht="15.75" thickBot="1" x14ac:dyDescent="0.3"/>
    <row r="203" spans="1:11" ht="15.75" thickBot="1" x14ac:dyDescent="0.3">
      <c r="A203" s="16" t="s">
        <v>116</v>
      </c>
      <c r="B203" s="14" t="str">
        <f>INDEX(B2:B201,MATCH(MAX(E2:E201),E2:E201,0))</f>
        <v>James Wilson</v>
      </c>
    </row>
    <row r="204" spans="1:11" ht="15.75" thickBot="1" x14ac:dyDescent="0.3">
      <c r="A204" s="17" t="s">
        <v>117</v>
      </c>
      <c r="B204" s="13" t="str">
        <f>INDEX(B3:B202,MATCH(MAX(E3:E202),E3:E202,0))</f>
        <v>James Wilson</v>
      </c>
      <c r="C204" s="15" t="s">
        <v>11</v>
      </c>
      <c r="D204" s="15" t="s">
        <v>15</v>
      </c>
      <c r="E204" s="15">
        <v>1923.66</v>
      </c>
      <c r="F204" s="15">
        <v>9</v>
      </c>
      <c r="G204" s="15">
        <v>0.2</v>
      </c>
      <c r="H204" s="15">
        <v>45580</v>
      </c>
      <c r="I204" s="13">
        <v>769.46</v>
      </c>
    </row>
  </sheetData>
  <scenarios current="0" show="0">
    <scenario name="DISCOUNT" locked="1" count="31" user="Admin" comment="Created by Admin on 3/16/2026">
      <inputCells r="G2" val="50"/>
      <inputCells r="G3" val="0.2"/>
      <inputCells r="G4" val="0"/>
      <inputCells r="G5" val="0.15"/>
      <inputCells r="G6" val="0.2"/>
      <inputCells r="G7" val="0.1"/>
      <inputCells r="G8" val="0.05"/>
      <inputCells r="G9" val="0.2"/>
      <inputCells r="G10" val="0.05"/>
      <inputCells r="G11" val="0.05"/>
      <inputCells r="G12" val="0.05"/>
      <inputCells r="G13" val="0.15"/>
      <inputCells r="G14" val="0.05"/>
      <inputCells r="G15" val="0.05"/>
      <inputCells r="G16" val="0.15"/>
      <inputCells r="G17" val="0.2"/>
      <inputCells r="G18" val="0.15"/>
      <inputCells r="G19" val="0.2"/>
      <inputCells r="G20" val="0.2"/>
      <inputCells r="G21" val="0"/>
      <inputCells r="G22" val="0"/>
      <inputCells r="G23" val="0.15"/>
      <inputCells r="G24" val="0"/>
      <inputCells r="G25" val="0"/>
      <inputCells r="G26" val="0.1"/>
      <inputCells r="G27" val="0"/>
      <inputCells r="G28" val="0"/>
      <inputCells r="G29" val="0.05"/>
      <inputCells r="G30" val="0.1"/>
      <inputCells r="G31" val="0.2"/>
      <inputCells r="G32" val="0.1"/>
    </scenario>
  </scenarios>
  <conditionalFormatting sqref="E1:E201">
    <cfRule type="top10" dxfId="42" priority="2" rank="10"/>
  </conditionalFormatting>
  <conditionalFormatting sqref="E2:E20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3"/>
  <sheetViews>
    <sheetView topLeftCell="A2" workbookViewId="0">
      <selection activeCell="D14" sqref="D14"/>
    </sheetView>
  </sheetViews>
  <sheetFormatPr defaultRowHeight="15" x14ac:dyDescent="0.25"/>
  <cols>
    <col min="1" max="1" width="18" bestFit="1" customWidth="1"/>
    <col min="2" max="2" width="11.5703125" bestFit="1" customWidth="1"/>
    <col min="3" max="3" width="13.7109375" bestFit="1" customWidth="1"/>
    <col min="4" max="4" width="12.28515625" bestFit="1" customWidth="1"/>
    <col min="5" max="5" width="11.5703125" bestFit="1" customWidth="1"/>
    <col min="6" max="6" width="14.7109375" customWidth="1"/>
    <col min="7" max="7" width="11.5703125" bestFit="1" customWidth="1"/>
    <col min="8" max="8" width="12.28515625" bestFit="1" customWidth="1"/>
    <col min="9" max="9" width="11.5703125" bestFit="1" customWidth="1"/>
    <col min="11" max="11" width="18.140625" bestFit="1" customWidth="1"/>
    <col min="14" max="14" width="18.140625" bestFit="1" customWidth="1"/>
  </cols>
  <sheetData>
    <row r="2" spans="1:15" x14ac:dyDescent="0.25">
      <c r="A2" s="3" t="s">
        <v>78</v>
      </c>
      <c r="B2" s="1"/>
      <c r="C2" s="1"/>
      <c r="D2" s="1"/>
      <c r="E2" s="1"/>
      <c r="F2" s="1"/>
      <c r="G2" s="1"/>
      <c r="H2" s="1"/>
      <c r="I2" s="4"/>
    </row>
    <row r="3" spans="1:15" x14ac:dyDescent="0.25">
      <c r="A3" s="1"/>
      <c r="B3" s="1"/>
      <c r="C3" s="1"/>
      <c r="D3" s="1"/>
      <c r="E3" s="1"/>
      <c r="F3" s="1"/>
      <c r="G3" s="1"/>
      <c r="H3" s="1"/>
      <c r="I3" s="4"/>
    </row>
    <row r="4" spans="1:15" ht="15.75" thickBot="1" x14ac:dyDescent="0.3">
      <c r="A4" s="5" t="s">
        <v>79</v>
      </c>
      <c r="B4" s="5"/>
      <c r="C4" s="1"/>
      <c r="D4" s="1"/>
      <c r="E4" s="1"/>
      <c r="F4" s="1"/>
      <c r="G4" s="1"/>
      <c r="H4" s="1"/>
      <c r="I4" s="4"/>
    </row>
    <row r="5" spans="1:15" x14ac:dyDescent="0.25">
      <c r="A5" s="1" t="s">
        <v>80</v>
      </c>
      <c r="B5" s="1">
        <v>0.77340306414342619</v>
      </c>
      <c r="C5" s="1"/>
      <c r="D5" s="1"/>
      <c r="E5" s="1"/>
      <c r="F5" s="1"/>
      <c r="G5" s="1"/>
      <c r="H5" s="1"/>
      <c r="I5" s="4"/>
    </row>
    <row r="6" spans="1:15" x14ac:dyDescent="0.25">
      <c r="A6" s="1" t="s">
        <v>81</v>
      </c>
      <c r="B6" s="1">
        <v>0.59815229962644056</v>
      </c>
      <c r="C6" s="1"/>
      <c r="D6" s="1"/>
      <c r="E6" s="1"/>
      <c r="F6" s="1"/>
      <c r="G6" s="1"/>
      <c r="H6" s="1"/>
      <c r="I6" s="4"/>
    </row>
    <row r="7" spans="1:15" x14ac:dyDescent="0.25">
      <c r="A7" s="1" t="s">
        <v>82</v>
      </c>
      <c r="B7" s="1">
        <v>0.59612276578617007</v>
      </c>
      <c r="C7" s="1"/>
      <c r="D7" s="1"/>
      <c r="E7" s="1"/>
      <c r="F7" s="1"/>
      <c r="G7" s="1"/>
      <c r="H7" s="1"/>
      <c r="I7" s="4"/>
    </row>
    <row r="8" spans="1:15" ht="15.75" thickBot="1" x14ac:dyDescent="0.3">
      <c r="A8" s="1" t="s">
        <v>83</v>
      </c>
      <c r="B8" s="1">
        <v>86.281230529665166</v>
      </c>
      <c r="C8" s="1"/>
      <c r="D8" s="1"/>
      <c r="E8" s="1"/>
      <c r="F8" s="1"/>
      <c r="G8" s="1"/>
      <c r="H8" s="1"/>
      <c r="I8" s="4"/>
    </row>
    <row r="9" spans="1:15" ht="15.75" thickBot="1" x14ac:dyDescent="0.3">
      <c r="A9" s="6" t="s">
        <v>84</v>
      </c>
      <c r="B9" s="6">
        <v>200</v>
      </c>
      <c r="C9" s="1"/>
      <c r="D9" s="1"/>
      <c r="E9" s="1"/>
      <c r="F9" s="1"/>
      <c r="G9" s="1"/>
      <c r="H9" s="1"/>
      <c r="I9" s="4"/>
      <c r="K9" s="12" t="s">
        <v>76</v>
      </c>
      <c r="L9" s="12"/>
      <c r="N9" s="12" t="s">
        <v>76</v>
      </c>
      <c r="O9" s="12"/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4"/>
      <c r="K10" s="10"/>
      <c r="L10" s="10"/>
      <c r="N10" s="10"/>
      <c r="O10" s="10"/>
    </row>
    <row r="11" spans="1:15" x14ac:dyDescent="0.25">
      <c r="A11" s="1" t="s">
        <v>85</v>
      </c>
      <c r="B11" s="1"/>
      <c r="C11" s="1"/>
      <c r="D11" s="1"/>
      <c r="E11" s="1"/>
      <c r="F11" s="1"/>
      <c r="G11" s="1"/>
      <c r="H11" s="1"/>
      <c r="I11" s="4"/>
      <c r="K11" s="10" t="s">
        <v>103</v>
      </c>
      <c r="L11" s="10">
        <v>976.08879999999965</v>
      </c>
      <c r="N11" s="10" t="s">
        <v>103</v>
      </c>
      <c r="O11" s="10">
        <v>96.363787500000001</v>
      </c>
    </row>
    <row r="12" spans="1:15" ht="15.75" thickBot="1" x14ac:dyDescent="0.3">
      <c r="A12" s="6"/>
      <c r="B12" s="6" t="s">
        <v>90</v>
      </c>
      <c r="C12" s="6" t="s">
        <v>91</v>
      </c>
      <c r="D12" s="6" t="s">
        <v>92</v>
      </c>
      <c r="E12" s="6" t="s">
        <v>93</v>
      </c>
      <c r="F12" s="6" t="s">
        <v>94</v>
      </c>
      <c r="G12" s="1"/>
      <c r="H12" s="1"/>
      <c r="I12" s="4"/>
      <c r="K12" s="10" t="s">
        <v>83</v>
      </c>
      <c r="L12" s="10">
        <v>21.161850448978406</v>
      </c>
      <c r="N12" s="10" t="s">
        <v>83</v>
      </c>
      <c r="O12" s="10">
        <v>5.9243285955908709</v>
      </c>
    </row>
    <row r="13" spans="1:15" x14ac:dyDescent="0.25">
      <c r="A13" s="1" t="s">
        <v>86</v>
      </c>
      <c r="B13" s="1">
        <v>1</v>
      </c>
      <c r="C13" s="1">
        <v>2194058.1833402822</v>
      </c>
      <c r="D13" s="1">
        <v>2194058.1833402822</v>
      </c>
      <c r="E13" s="1">
        <v>294.72398427548114</v>
      </c>
      <c r="F13" s="1">
        <v>4.6269367558910499E-41</v>
      </c>
      <c r="G13" s="1"/>
      <c r="H13" s="1"/>
      <c r="I13" s="4"/>
      <c r="K13" s="10" t="s">
        <v>104</v>
      </c>
      <c r="L13" s="10">
        <v>976.72</v>
      </c>
      <c r="N13" s="10" t="s">
        <v>104</v>
      </c>
      <c r="O13" s="10">
        <v>78.8245</v>
      </c>
    </row>
    <row r="14" spans="1:15" x14ac:dyDescent="0.25">
      <c r="A14" s="1" t="s">
        <v>87</v>
      </c>
      <c r="B14" s="1">
        <v>198</v>
      </c>
      <c r="C14" s="1">
        <v>1474001.2468592182</v>
      </c>
      <c r="D14" s="1">
        <v>7444.4507417132236</v>
      </c>
      <c r="E14" s="1"/>
      <c r="F14" s="1"/>
      <c r="G14" s="1"/>
      <c r="H14" s="1"/>
      <c r="I14" s="4"/>
      <c r="K14" s="10" t="s">
        <v>105</v>
      </c>
      <c r="L14" s="10" t="e">
        <v>#N/A</v>
      </c>
      <c r="N14" s="10" t="s">
        <v>105</v>
      </c>
      <c r="O14" s="10">
        <v>0</v>
      </c>
    </row>
    <row r="15" spans="1:15" x14ac:dyDescent="0.25">
      <c r="A15" s="1" t="s">
        <v>88</v>
      </c>
      <c r="B15" s="1">
        <v>199</v>
      </c>
      <c r="C15" s="1">
        <v>3668059.4301995002</v>
      </c>
      <c r="D15" s="1"/>
      <c r="E15" s="1"/>
      <c r="F15" s="1"/>
      <c r="G15" s="1"/>
      <c r="H15" s="1"/>
      <c r="I15" s="4"/>
      <c r="K15" s="10" t="s">
        <v>106</v>
      </c>
      <c r="L15" s="10">
        <v>299.27375909856431</v>
      </c>
      <c r="N15" s="10" t="s">
        <v>106</v>
      </c>
      <c r="O15" s="10">
        <v>83.782658478393614</v>
      </c>
    </row>
    <row r="16" spans="1:15" x14ac:dyDescent="0.25">
      <c r="A16" s="7"/>
      <c r="B16" s="7"/>
      <c r="C16" s="7"/>
      <c r="D16" s="7"/>
      <c r="E16" s="7"/>
      <c r="F16" s="7"/>
      <c r="G16" s="1"/>
      <c r="H16" s="1"/>
      <c r="I16" s="4"/>
      <c r="K16" s="10" t="s">
        <v>107</v>
      </c>
      <c r="L16" s="10">
        <v>89564.782884985514</v>
      </c>
      <c r="N16" s="10" t="s">
        <v>107</v>
      </c>
      <c r="O16" s="10">
        <v>7019.5338617071402</v>
      </c>
    </row>
    <row r="17" spans="1:15" ht="30.75" thickBot="1" x14ac:dyDescent="0.3">
      <c r="A17" s="6"/>
      <c r="B17" s="3" t="s">
        <v>95</v>
      </c>
      <c r="C17" s="3" t="s">
        <v>83</v>
      </c>
      <c r="D17" s="3" t="s">
        <v>96</v>
      </c>
      <c r="E17" s="3" t="s">
        <v>97</v>
      </c>
      <c r="F17" s="3" t="s">
        <v>98</v>
      </c>
      <c r="G17" s="3" t="s">
        <v>99</v>
      </c>
      <c r="H17" s="3" t="s">
        <v>100</v>
      </c>
      <c r="I17" s="8" t="s">
        <v>101</v>
      </c>
      <c r="K17" s="10" t="s">
        <v>108</v>
      </c>
      <c r="L17" s="10">
        <v>-8.8595231919740502E-2</v>
      </c>
      <c r="N17" s="10" t="s">
        <v>108</v>
      </c>
      <c r="O17" s="10">
        <v>0.39574240137273531</v>
      </c>
    </row>
    <row r="18" spans="1:15" x14ac:dyDescent="0.25">
      <c r="A18" s="1" t="s">
        <v>89</v>
      </c>
      <c r="B18" s="1">
        <v>-1.0315504901911368</v>
      </c>
      <c r="C18" s="1">
        <v>20.860617005445505</v>
      </c>
      <c r="D18" s="1">
        <v>-4.9449663445805959E-2</v>
      </c>
      <c r="E18" s="1">
        <v>0.96061079696907459</v>
      </c>
      <c r="F18" s="1">
        <v>-42.169051823378965</v>
      </c>
      <c r="G18" s="1">
        <v>40.105950842996691</v>
      </c>
      <c r="H18" s="1">
        <v>-42.169051823378965</v>
      </c>
      <c r="I18" s="4">
        <v>40.105950842996691</v>
      </c>
      <c r="K18" s="10" t="s">
        <v>109</v>
      </c>
      <c r="L18" s="10">
        <v>0.14685796564193557</v>
      </c>
      <c r="N18" s="10" t="s">
        <v>109</v>
      </c>
      <c r="O18" s="10">
        <v>0.87630090921086023</v>
      </c>
    </row>
    <row r="19" spans="1:15" ht="15.75" thickBot="1" x14ac:dyDescent="0.3">
      <c r="A19" s="2" t="s">
        <v>102</v>
      </c>
      <c r="B19" s="2">
        <v>0.35085598819512254</v>
      </c>
      <c r="C19" s="2">
        <v>2.0437188630135626E-2</v>
      </c>
      <c r="D19" s="2">
        <v>17.167527028535048</v>
      </c>
      <c r="E19" s="2">
        <v>4.6269367558907868E-41</v>
      </c>
      <c r="F19" s="2">
        <v>0.31055349501865764</v>
      </c>
      <c r="G19" s="2">
        <v>0.39115848137158743</v>
      </c>
      <c r="H19" s="2">
        <v>0.31055349501865764</v>
      </c>
      <c r="I19" s="9">
        <v>0.39115848137158743</v>
      </c>
      <c r="K19" s="10" t="s">
        <v>110</v>
      </c>
      <c r="L19" s="10">
        <v>1665.15</v>
      </c>
      <c r="N19" s="10" t="s">
        <v>110</v>
      </c>
      <c r="O19" s="10">
        <v>384.73200000000003</v>
      </c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4"/>
      <c r="K20" s="10" t="s">
        <v>111</v>
      </c>
      <c r="L20" s="10">
        <v>258.51</v>
      </c>
      <c r="N20" s="10" t="s">
        <v>111</v>
      </c>
      <c r="O20" s="10">
        <v>0</v>
      </c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4"/>
      <c r="K21" s="10" t="s">
        <v>112</v>
      </c>
      <c r="L21" s="10">
        <v>1923.66</v>
      </c>
      <c r="N21" s="10" t="s">
        <v>112</v>
      </c>
      <c r="O21" s="10">
        <v>384.73200000000003</v>
      </c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4"/>
      <c r="K22" s="10" t="s">
        <v>113</v>
      </c>
      <c r="L22" s="10">
        <v>195217.75999999992</v>
      </c>
      <c r="N22" s="10" t="s">
        <v>113</v>
      </c>
      <c r="O22" s="10">
        <v>19272.7575</v>
      </c>
    </row>
    <row r="23" spans="1:15" ht="15.75" thickBot="1" x14ac:dyDescent="0.3">
      <c r="K23" s="11" t="s">
        <v>114</v>
      </c>
      <c r="L23" s="11">
        <v>200</v>
      </c>
      <c r="N23" s="11" t="s">
        <v>114</v>
      </c>
      <c r="O23" s="11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workbookViewId="0">
      <selection activeCell="G15" sqref="G15"/>
    </sheetView>
  </sheetViews>
  <sheetFormatPr defaultRowHeight="15" x14ac:dyDescent="0.25"/>
  <cols>
    <col min="1" max="1" width="13.140625" customWidth="1"/>
    <col min="2" max="2" width="16.28515625" bestFit="1" customWidth="1"/>
    <col min="3" max="3" width="9.42578125" customWidth="1"/>
    <col min="4" max="4" width="11.28515625" customWidth="1"/>
    <col min="5" max="5" width="12.140625" customWidth="1"/>
    <col min="6" max="6" width="9" customWidth="1"/>
    <col min="7" max="7" width="14.5703125" customWidth="1"/>
    <col min="8" max="8" width="12.5703125" bestFit="1" customWidth="1"/>
    <col min="9" max="11" width="10.28515625" bestFit="1" customWidth="1"/>
    <col min="12" max="12" width="13.42578125" bestFit="1" customWidth="1"/>
    <col min="13" max="17" width="12.42578125" bestFit="1" customWidth="1"/>
    <col min="18" max="18" width="15.5703125" bestFit="1" customWidth="1"/>
    <col min="19" max="23" width="11.140625" bestFit="1" customWidth="1"/>
    <col min="24" max="24" width="14.28515625" bestFit="1" customWidth="1"/>
    <col min="25" max="29" width="16.42578125" bestFit="1" customWidth="1"/>
    <col min="30" max="30" width="19.5703125" bestFit="1" customWidth="1"/>
    <col min="31" max="31" width="11.28515625" bestFit="1" customWidth="1"/>
  </cols>
  <sheetData>
    <row r="1" spans="1:8" x14ac:dyDescent="0.25">
      <c r="A1" s="18" t="s">
        <v>121</v>
      </c>
      <c r="B1" s="18" t="s">
        <v>120</v>
      </c>
      <c r="C1" s="19"/>
      <c r="D1" s="19"/>
      <c r="E1" s="19"/>
      <c r="F1" s="19"/>
      <c r="G1" s="19"/>
    </row>
    <row r="2" spans="1:8" x14ac:dyDescent="0.25">
      <c r="A2" s="18" t="s">
        <v>118</v>
      </c>
      <c r="B2" s="19" t="s">
        <v>34</v>
      </c>
      <c r="C2" s="19" t="s">
        <v>18</v>
      </c>
      <c r="D2" s="19" t="s">
        <v>24</v>
      </c>
      <c r="E2" s="19" t="s">
        <v>20</v>
      </c>
      <c r="F2" s="19" t="s">
        <v>11</v>
      </c>
      <c r="G2" s="19" t="s">
        <v>119</v>
      </c>
    </row>
    <row r="3" spans="1:8" x14ac:dyDescent="0.25">
      <c r="A3" s="20" t="s">
        <v>12</v>
      </c>
      <c r="B3" s="21">
        <v>11297.150000000001</v>
      </c>
      <c r="C3" s="21">
        <v>11389.090000000002</v>
      </c>
      <c r="D3" s="21">
        <v>8037.0100000000011</v>
      </c>
      <c r="E3" s="21">
        <v>9588.0400000000009</v>
      </c>
      <c r="F3" s="21">
        <v>6691.17</v>
      </c>
      <c r="G3" s="21">
        <v>47002.460000000006</v>
      </c>
    </row>
    <row r="4" spans="1:8" x14ac:dyDescent="0.25">
      <c r="A4" s="20" t="s">
        <v>15</v>
      </c>
      <c r="B4" s="21">
        <v>12200.26</v>
      </c>
      <c r="C4" s="21">
        <v>2401.4499999999998</v>
      </c>
      <c r="D4" s="21">
        <v>8422.82</v>
      </c>
      <c r="E4" s="21">
        <v>8393.630000000001</v>
      </c>
      <c r="F4" s="21">
        <v>10509.429999999998</v>
      </c>
      <c r="G4" s="21">
        <v>41927.589999999997</v>
      </c>
    </row>
    <row r="5" spans="1:8" x14ac:dyDescent="0.25">
      <c r="A5" s="20" t="s">
        <v>21</v>
      </c>
      <c r="B5" s="21">
        <v>6621.24</v>
      </c>
      <c r="C5" s="21">
        <v>2869.54</v>
      </c>
      <c r="D5" s="21">
        <v>8191.7099999999991</v>
      </c>
      <c r="E5" s="21">
        <v>11989.070000000003</v>
      </c>
      <c r="F5" s="21">
        <v>11372.44</v>
      </c>
      <c r="G5" s="21">
        <v>41044</v>
      </c>
    </row>
    <row r="6" spans="1:8" x14ac:dyDescent="0.25">
      <c r="A6" s="20" t="s">
        <v>27</v>
      </c>
      <c r="B6" s="21">
        <v>4876.96</v>
      </c>
      <c r="C6" s="21">
        <v>7592.3399999999992</v>
      </c>
      <c r="D6" s="21">
        <v>6978.08</v>
      </c>
      <c r="E6" s="21">
        <v>7982.73</v>
      </c>
      <c r="F6" s="21">
        <v>9182.7800000000007</v>
      </c>
      <c r="G6" s="21">
        <v>36612.89</v>
      </c>
    </row>
    <row r="7" spans="1:8" x14ac:dyDescent="0.25">
      <c r="A7" s="20" t="s">
        <v>39</v>
      </c>
      <c r="B7" s="21">
        <v>8472.7199999999993</v>
      </c>
      <c r="C7" s="21">
        <v>8189.2200000000012</v>
      </c>
      <c r="D7" s="21">
        <v>3345.8</v>
      </c>
      <c r="E7" s="21">
        <v>2295.3199999999997</v>
      </c>
      <c r="F7" s="21">
        <v>6327.76</v>
      </c>
      <c r="G7" s="21">
        <v>28630.82</v>
      </c>
    </row>
    <row r="8" spans="1:8" x14ac:dyDescent="0.25">
      <c r="A8" s="20" t="s">
        <v>119</v>
      </c>
      <c r="B8" s="21">
        <v>43468.33</v>
      </c>
      <c r="C8" s="21">
        <v>32441.640000000003</v>
      </c>
      <c r="D8" s="21">
        <v>34975.420000000006</v>
      </c>
      <c r="E8" s="21">
        <v>40248.79</v>
      </c>
      <c r="F8" s="21">
        <v>44083.58</v>
      </c>
      <c r="G8" s="21">
        <v>195217.76</v>
      </c>
    </row>
    <row r="11" spans="1:8" x14ac:dyDescent="0.25">
      <c r="A11" s="18" t="s">
        <v>2</v>
      </c>
      <c r="B11" s="19" t="s">
        <v>121</v>
      </c>
      <c r="D11" s="18" t="s">
        <v>123</v>
      </c>
      <c r="E11" s="19" t="s">
        <v>121</v>
      </c>
      <c r="G11" s="18" t="s">
        <v>124</v>
      </c>
      <c r="H11" s="19" t="s">
        <v>122</v>
      </c>
    </row>
    <row r="12" spans="1:8" x14ac:dyDescent="0.25">
      <c r="A12" s="20" t="s">
        <v>34</v>
      </c>
      <c r="B12" s="21">
        <v>43468.33</v>
      </c>
      <c r="D12" s="22">
        <v>45392</v>
      </c>
      <c r="E12" s="21">
        <v>1036.0899999999999</v>
      </c>
      <c r="G12" s="20" t="s">
        <v>12</v>
      </c>
      <c r="H12" s="21">
        <v>16901.630000000005</v>
      </c>
    </row>
    <row r="13" spans="1:8" x14ac:dyDescent="0.25">
      <c r="A13" s="20" t="s">
        <v>18</v>
      </c>
      <c r="B13" s="21">
        <v>32441.64</v>
      </c>
      <c r="D13" s="22">
        <v>45393</v>
      </c>
      <c r="E13" s="21">
        <v>1101.28</v>
      </c>
      <c r="G13" s="20" t="s">
        <v>15</v>
      </c>
      <c r="H13" s="21">
        <v>18784.490000000002</v>
      </c>
    </row>
    <row r="14" spans="1:8" x14ac:dyDescent="0.25">
      <c r="A14" s="20" t="s">
        <v>24</v>
      </c>
      <c r="B14" s="21">
        <v>34975.42</v>
      </c>
      <c r="D14" s="22">
        <v>45396</v>
      </c>
      <c r="E14" s="21">
        <v>1474.27</v>
      </c>
      <c r="G14" s="20" t="s">
        <v>21</v>
      </c>
      <c r="H14" s="21">
        <v>9182.1500000000015</v>
      </c>
    </row>
    <row r="15" spans="1:8" x14ac:dyDescent="0.25">
      <c r="A15" s="20" t="s">
        <v>20</v>
      </c>
      <c r="B15" s="21">
        <v>40248.79</v>
      </c>
      <c r="D15" s="22">
        <v>45397</v>
      </c>
      <c r="E15" s="21">
        <v>847</v>
      </c>
      <c r="G15" s="20" t="s">
        <v>27</v>
      </c>
      <c r="H15" s="21">
        <v>11579.140000000003</v>
      </c>
    </row>
    <row r="16" spans="1:8" x14ac:dyDescent="0.25">
      <c r="A16" s="20" t="s">
        <v>11</v>
      </c>
      <c r="B16" s="21">
        <v>44083.58</v>
      </c>
      <c r="D16" s="22">
        <v>45398</v>
      </c>
      <c r="E16" s="21">
        <v>2283.17</v>
      </c>
      <c r="G16" s="20" t="s">
        <v>39</v>
      </c>
      <c r="H16" s="21">
        <v>11839.599999999999</v>
      </c>
    </row>
    <row r="17" spans="1:8" x14ac:dyDescent="0.25">
      <c r="A17" s="20" t="s">
        <v>119</v>
      </c>
      <c r="B17" s="21">
        <v>195217.76</v>
      </c>
      <c r="D17" s="22">
        <v>45401</v>
      </c>
      <c r="E17" s="21">
        <v>2313.3199999999997</v>
      </c>
      <c r="G17" s="20" t="s">
        <v>119</v>
      </c>
      <c r="H17" s="21">
        <v>68287.010000000009</v>
      </c>
    </row>
    <row r="18" spans="1:8" x14ac:dyDescent="0.25">
      <c r="D18" s="22">
        <v>45402</v>
      </c>
      <c r="E18" s="21">
        <v>1572.82</v>
      </c>
    </row>
    <row r="19" spans="1:8" x14ac:dyDescent="0.25">
      <c r="D19" s="22">
        <v>45404</v>
      </c>
      <c r="E19" s="21">
        <v>1343.13</v>
      </c>
    </row>
    <row r="20" spans="1:8" x14ac:dyDescent="0.25">
      <c r="D20" s="22">
        <v>45406</v>
      </c>
      <c r="E20" s="21">
        <v>2013.86</v>
      </c>
    </row>
    <row r="21" spans="1:8" x14ac:dyDescent="0.25">
      <c r="D21" s="22">
        <v>45409</v>
      </c>
      <c r="E21" s="21">
        <v>521.66999999999996</v>
      </c>
    </row>
    <row r="22" spans="1:8" x14ac:dyDescent="0.25">
      <c r="D22" s="22">
        <v>45410</v>
      </c>
      <c r="E22" s="21">
        <v>1502.93</v>
      </c>
    </row>
    <row r="23" spans="1:8" x14ac:dyDescent="0.25">
      <c r="D23" s="22">
        <v>45411</v>
      </c>
      <c r="E23" s="21">
        <v>1514.2800000000002</v>
      </c>
    </row>
    <row r="24" spans="1:8" x14ac:dyDescent="0.25">
      <c r="D24" s="22">
        <v>45412</v>
      </c>
      <c r="E24" s="21">
        <v>1506.14</v>
      </c>
    </row>
    <row r="25" spans="1:8" x14ac:dyDescent="0.25">
      <c r="D25" s="22">
        <v>45414</v>
      </c>
      <c r="E25" s="21">
        <v>645.02</v>
      </c>
    </row>
    <row r="26" spans="1:8" x14ac:dyDescent="0.25">
      <c r="D26" s="22">
        <v>45415</v>
      </c>
      <c r="E26" s="21">
        <v>953.3</v>
      </c>
    </row>
    <row r="27" spans="1:8" x14ac:dyDescent="0.25">
      <c r="D27" s="22">
        <v>45416</v>
      </c>
      <c r="E27" s="21">
        <v>1838.1</v>
      </c>
    </row>
    <row r="28" spans="1:8" x14ac:dyDescent="0.25">
      <c r="D28" s="22">
        <v>45418</v>
      </c>
      <c r="E28" s="21">
        <v>2098.4299999999998</v>
      </c>
    </row>
    <row r="29" spans="1:8" x14ac:dyDescent="0.25">
      <c r="D29" s="22">
        <v>45420</v>
      </c>
      <c r="E29" s="21">
        <v>675.54</v>
      </c>
    </row>
    <row r="30" spans="1:8" x14ac:dyDescent="0.25">
      <c r="D30" s="22">
        <v>45422</v>
      </c>
      <c r="E30" s="21">
        <v>939.09</v>
      </c>
    </row>
    <row r="31" spans="1:8" x14ac:dyDescent="0.25">
      <c r="D31" s="22">
        <v>45426</v>
      </c>
      <c r="E31" s="21">
        <v>1784.5500000000002</v>
      </c>
    </row>
    <row r="32" spans="1:8" x14ac:dyDescent="0.25">
      <c r="D32" s="22">
        <v>45427</v>
      </c>
      <c r="E32" s="21">
        <v>1450.71</v>
      </c>
    </row>
    <row r="33" spans="4:5" x14ac:dyDescent="0.25">
      <c r="D33" s="22">
        <v>45428</v>
      </c>
      <c r="E33" s="21">
        <v>1876.93</v>
      </c>
    </row>
    <row r="34" spans="4:5" x14ac:dyDescent="0.25">
      <c r="D34" s="22">
        <v>45429</v>
      </c>
      <c r="E34" s="21">
        <v>3482.09</v>
      </c>
    </row>
    <row r="35" spans="4:5" x14ac:dyDescent="0.25">
      <c r="D35" s="22">
        <v>45434</v>
      </c>
      <c r="E35" s="21">
        <v>2183.15</v>
      </c>
    </row>
    <row r="36" spans="4:5" x14ac:dyDescent="0.25">
      <c r="D36" s="22">
        <v>45435</v>
      </c>
      <c r="E36" s="21">
        <v>580.42999999999995</v>
      </c>
    </row>
    <row r="37" spans="4:5" x14ac:dyDescent="0.25">
      <c r="D37" s="22">
        <v>45445</v>
      </c>
      <c r="E37" s="21">
        <v>1151.21</v>
      </c>
    </row>
    <row r="38" spans="4:5" x14ac:dyDescent="0.25">
      <c r="D38" s="22">
        <v>45447</v>
      </c>
      <c r="E38" s="21">
        <v>1582.4</v>
      </c>
    </row>
    <row r="39" spans="4:5" x14ac:dyDescent="0.25">
      <c r="D39" s="22">
        <v>45448</v>
      </c>
      <c r="E39" s="21">
        <v>2068.1</v>
      </c>
    </row>
    <row r="40" spans="4:5" x14ac:dyDescent="0.25">
      <c r="D40" s="22">
        <v>45449</v>
      </c>
      <c r="E40" s="21">
        <v>2082.12</v>
      </c>
    </row>
    <row r="41" spans="4:5" x14ac:dyDescent="0.25">
      <c r="D41" s="22">
        <v>45450</v>
      </c>
      <c r="E41" s="21">
        <v>1001.57</v>
      </c>
    </row>
    <row r="42" spans="4:5" x14ac:dyDescent="0.25">
      <c r="D42" s="22">
        <v>45451</v>
      </c>
      <c r="E42" s="21">
        <v>1186.8499999999999</v>
      </c>
    </row>
    <row r="43" spans="4:5" x14ac:dyDescent="0.25">
      <c r="D43" s="22">
        <v>45457</v>
      </c>
      <c r="E43" s="21">
        <v>775.45</v>
      </c>
    </row>
    <row r="44" spans="4:5" x14ac:dyDescent="0.25">
      <c r="D44" s="22">
        <v>45461</v>
      </c>
      <c r="E44" s="21">
        <v>1021.47</v>
      </c>
    </row>
    <row r="45" spans="4:5" x14ac:dyDescent="0.25">
      <c r="D45" s="22">
        <v>45463</v>
      </c>
      <c r="E45" s="21">
        <v>1226.6199999999999</v>
      </c>
    </row>
    <row r="46" spans="4:5" x14ac:dyDescent="0.25">
      <c r="D46" s="22">
        <v>45464</v>
      </c>
      <c r="E46" s="21">
        <v>1086.93</v>
      </c>
    </row>
    <row r="47" spans="4:5" x14ac:dyDescent="0.25">
      <c r="D47" s="22">
        <v>45466</v>
      </c>
      <c r="E47" s="21">
        <v>942.9</v>
      </c>
    </row>
    <row r="48" spans="4:5" x14ac:dyDescent="0.25">
      <c r="D48" s="22">
        <v>45468</v>
      </c>
      <c r="E48" s="21">
        <v>1737.84</v>
      </c>
    </row>
    <row r="49" spans="4:5" x14ac:dyDescent="0.25">
      <c r="D49" s="22">
        <v>45470</v>
      </c>
      <c r="E49" s="21">
        <v>973.26</v>
      </c>
    </row>
    <row r="50" spans="4:5" x14ac:dyDescent="0.25">
      <c r="D50" s="22">
        <v>45471</v>
      </c>
      <c r="E50" s="21">
        <v>741.61</v>
      </c>
    </row>
    <row r="51" spans="4:5" x14ac:dyDescent="0.25">
      <c r="D51" s="22">
        <v>45473</v>
      </c>
      <c r="E51" s="21">
        <v>2609.1799999999998</v>
      </c>
    </row>
    <row r="52" spans="4:5" x14ac:dyDescent="0.25">
      <c r="D52" s="22">
        <v>45478</v>
      </c>
      <c r="E52" s="21">
        <v>1383.3</v>
      </c>
    </row>
    <row r="53" spans="4:5" x14ac:dyDescent="0.25">
      <c r="D53" s="22">
        <v>45479</v>
      </c>
      <c r="E53" s="21">
        <v>488.99</v>
      </c>
    </row>
    <row r="54" spans="4:5" x14ac:dyDescent="0.25">
      <c r="D54" s="22">
        <v>45481</v>
      </c>
      <c r="E54" s="21">
        <v>1939.24</v>
      </c>
    </row>
    <row r="55" spans="4:5" x14ac:dyDescent="0.25">
      <c r="D55" s="22">
        <v>45482</v>
      </c>
      <c r="E55" s="21">
        <v>1100.0999999999999</v>
      </c>
    </row>
    <row r="56" spans="4:5" x14ac:dyDescent="0.25">
      <c r="D56" s="22">
        <v>45487</v>
      </c>
      <c r="E56" s="21">
        <v>1034.7</v>
      </c>
    </row>
    <row r="57" spans="4:5" x14ac:dyDescent="0.25">
      <c r="D57" s="22">
        <v>45488</v>
      </c>
      <c r="E57" s="21">
        <v>2247.7799999999997</v>
      </c>
    </row>
    <row r="58" spans="4:5" x14ac:dyDescent="0.25">
      <c r="D58" s="22">
        <v>45494</v>
      </c>
      <c r="E58" s="21">
        <v>1020.26</v>
      </c>
    </row>
    <row r="59" spans="4:5" x14ac:dyDescent="0.25">
      <c r="D59" s="22">
        <v>45502</v>
      </c>
      <c r="E59" s="21">
        <v>804.81</v>
      </c>
    </row>
    <row r="60" spans="4:5" x14ac:dyDescent="0.25">
      <c r="D60" s="22">
        <v>45503</v>
      </c>
      <c r="E60" s="21">
        <v>608.66</v>
      </c>
    </row>
    <row r="61" spans="4:5" x14ac:dyDescent="0.25">
      <c r="D61" s="22">
        <v>45504</v>
      </c>
      <c r="E61" s="21">
        <v>981.2</v>
      </c>
    </row>
    <row r="62" spans="4:5" x14ac:dyDescent="0.25">
      <c r="D62" s="22">
        <v>45509</v>
      </c>
      <c r="E62" s="21">
        <v>1344.22</v>
      </c>
    </row>
    <row r="63" spans="4:5" x14ac:dyDescent="0.25">
      <c r="D63" s="22">
        <v>45512</v>
      </c>
      <c r="E63" s="21">
        <v>1526.6</v>
      </c>
    </row>
    <row r="64" spans="4:5" x14ac:dyDescent="0.25">
      <c r="D64" s="22">
        <v>45513</v>
      </c>
      <c r="E64" s="21">
        <v>1215.26</v>
      </c>
    </row>
    <row r="65" spans="4:5" x14ac:dyDescent="0.25">
      <c r="D65" s="22">
        <v>45519</v>
      </c>
      <c r="E65" s="21">
        <v>1261.3399999999999</v>
      </c>
    </row>
    <row r="66" spans="4:5" x14ac:dyDescent="0.25">
      <c r="D66" s="22">
        <v>45522</v>
      </c>
      <c r="E66" s="21">
        <v>518.07000000000005</v>
      </c>
    </row>
    <row r="67" spans="4:5" x14ac:dyDescent="0.25">
      <c r="D67" s="22">
        <v>45523</v>
      </c>
      <c r="E67" s="21">
        <v>1111.3399999999999</v>
      </c>
    </row>
    <row r="68" spans="4:5" x14ac:dyDescent="0.25">
      <c r="D68" s="22">
        <v>45526</v>
      </c>
      <c r="E68" s="21">
        <v>1291.47</v>
      </c>
    </row>
    <row r="69" spans="4:5" x14ac:dyDescent="0.25">
      <c r="D69" s="22">
        <v>45534</v>
      </c>
      <c r="E69" s="21">
        <v>1823.4</v>
      </c>
    </row>
    <row r="70" spans="4:5" x14ac:dyDescent="0.25">
      <c r="D70" s="22">
        <v>45536</v>
      </c>
      <c r="E70" s="21">
        <v>1860.7600000000002</v>
      </c>
    </row>
    <row r="71" spans="4:5" x14ac:dyDescent="0.25">
      <c r="D71" s="22">
        <v>45544</v>
      </c>
      <c r="E71" s="21">
        <v>2504.7600000000002</v>
      </c>
    </row>
    <row r="72" spans="4:5" x14ac:dyDescent="0.25">
      <c r="D72" s="22">
        <v>45546</v>
      </c>
      <c r="E72" s="21">
        <v>873.7</v>
      </c>
    </row>
    <row r="73" spans="4:5" x14ac:dyDescent="0.25">
      <c r="D73" s="22">
        <v>45547</v>
      </c>
      <c r="E73" s="21">
        <v>1443.98</v>
      </c>
    </row>
    <row r="74" spans="4:5" x14ac:dyDescent="0.25">
      <c r="D74" s="22">
        <v>45549</v>
      </c>
      <c r="E74" s="21">
        <v>2418.8199999999997</v>
      </c>
    </row>
    <row r="75" spans="4:5" x14ac:dyDescent="0.25">
      <c r="D75" s="22">
        <v>45551</v>
      </c>
      <c r="E75" s="21">
        <v>1101.55</v>
      </c>
    </row>
    <row r="76" spans="4:5" x14ac:dyDescent="0.25">
      <c r="D76" s="22">
        <v>45552</v>
      </c>
      <c r="E76" s="21">
        <v>1603.1399999999999</v>
      </c>
    </row>
    <row r="77" spans="4:5" x14ac:dyDescent="0.25">
      <c r="D77" s="22">
        <v>45553</v>
      </c>
      <c r="E77" s="21">
        <v>1158.94</v>
      </c>
    </row>
    <row r="78" spans="4:5" x14ac:dyDescent="0.25">
      <c r="D78" s="22">
        <v>45557</v>
      </c>
      <c r="E78" s="21">
        <v>966.3</v>
      </c>
    </row>
    <row r="79" spans="4:5" x14ac:dyDescent="0.25">
      <c r="D79" s="22">
        <v>45558</v>
      </c>
      <c r="E79" s="21">
        <v>917.48</v>
      </c>
    </row>
    <row r="80" spans="4:5" x14ac:dyDescent="0.25">
      <c r="D80" s="22">
        <v>45559</v>
      </c>
      <c r="E80" s="21">
        <v>2378.79</v>
      </c>
    </row>
    <row r="81" spans="4:5" x14ac:dyDescent="0.25">
      <c r="D81" s="22">
        <v>45564</v>
      </c>
      <c r="E81" s="21">
        <v>1729.12</v>
      </c>
    </row>
    <row r="82" spans="4:5" x14ac:dyDescent="0.25">
      <c r="D82" s="22">
        <v>45565</v>
      </c>
      <c r="E82" s="21">
        <v>1576.16</v>
      </c>
    </row>
    <row r="83" spans="4:5" x14ac:dyDescent="0.25">
      <c r="D83" s="22">
        <v>45567</v>
      </c>
      <c r="E83" s="21">
        <v>1014.09</v>
      </c>
    </row>
    <row r="84" spans="4:5" x14ac:dyDescent="0.25">
      <c r="D84" s="22">
        <v>45570</v>
      </c>
      <c r="E84" s="21">
        <v>925.29</v>
      </c>
    </row>
    <row r="85" spans="4:5" x14ac:dyDescent="0.25">
      <c r="D85" s="22">
        <v>45575</v>
      </c>
      <c r="E85" s="21">
        <v>1286.54</v>
      </c>
    </row>
    <row r="86" spans="4:5" x14ac:dyDescent="0.25">
      <c r="D86" s="22">
        <v>45577</v>
      </c>
      <c r="E86" s="21">
        <v>2042.7600000000002</v>
      </c>
    </row>
    <row r="87" spans="4:5" x14ac:dyDescent="0.25">
      <c r="D87" s="22">
        <v>45580</v>
      </c>
      <c r="E87" s="21">
        <v>1923.66</v>
      </c>
    </row>
    <row r="88" spans="4:5" x14ac:dyDescent="0.25">
      <c r="D88" s="22">
        <v>45581</v>
      </c>
      <c r="E88" s="21">
        <v>2030.6000000000001</v>
      </c>
    </row>
    <row r="89" spans="4:5" x14ac:dyDescent="0.25">
      <c r="D89" s="22">
        <v>45582</v>
      </c>
      <c r="E89" s="21">
        <v>980.18</v>
      </c>
    </row>
    <row r="90" spans="4:5" x14ac:dyDescent="0.25">
      <c r="D90" s="22">
        <v>45584</v>
      </c>
      <c r="E90" s="21">
        <v>1891.1799999999998</v>
      </c>
    </row>
    <row r="91" spans="4:5" x14ac:dyDescent="0.25">
      <c r="D91" s="22">
        <v>45585</v>
      </c>
      <c r="E91" s="21">
        <v>771.02</v>
      </c>
    </row>
    <row r="92" spans="4:5" x14ac:dyDescent="0.25">
      <c r="D92" s="22">
        <v>45593</v>
      </c>
      <c r="E92" s="21">
        <v>661.09</v>
      </c>
    </row>
    <row r="93" spans="4:5" x14ac:dyDescent="0.25">
      <c r="D93" s="22">
        <v>45595</v>
      </c>
      <c r="E93" s="21">
        <v>688.83</v>
      </c>
    </row>
    <row r="94" spans="4:5" x14ac:dyDescent="0.25">
      <c r="D94" s="22">
        <v>45597</v>
      </c>
      <c r="E94" s="21">
        <v>1249.0999999999999</v>
      </c>
    </row>
    <row r="95" spans="4:5" x14ac:dyDescent="0.25">
      <c r="D95" s="22">
        <v>45599</v>
      </c>
      <c r="E95" s="21">
        <v>1014.22</v>
      </c>
    </row>
    <row r="96" spans="4:5" x14ac:dyDescent="0.25">
      <c r="D96" s="22">
        <v>45605</v>
      </c>
      <c r="E96" s="21">
        <v>1967.87</v>
      </c>
    </row>
    <row r="97" spans="4:5" x14ac:dyDescent="0.25">
      <c r="D97" s="22">
        <v>45608</v>
      </c>
      <c r="E97" s="21">
        <v>1077.92</v>
      </c>
    </row>
    <row r="98" spans="4:5" x14ac:dyDescent="0.25">
      <c r="D98" s="22">
        <v>45611</v>
      </c>
      <c r="E98" s="21">
        <v>1163.01</v>
      </c>
    </row>
    <row r="99" spans="4:5" x14ac:dyDescent="0.25">
      <c r="D99" s="22">
        <v>45612</v>
      </c>
      <c r="E99" s="21">
        <v>1014.56</v>
      </c>
    </row>
    <row r="100" spans="4:5" x14ac:dyDescent="0.25">
      <c r="D100" s="22">
        <v>45613</v>
      </c>
      <c r="E100" s="21">
        <v>2702.62</v>
      </c>
    </row>
    <row r="101" spans="4:5" x14ac:dyDescent="0.25">
      <c r="D101" s="22">
        <v>45615</v>
      </c>
      <c r="E101" s="21">
        <v>3680.1</v>
      </c>
    </row>
    <row r="102" spans="4:5" x14ac:dyDescent="0.25">
      <c r="D102" s="22">
        <v>45616</v>
      </c>
      <c r="E102" s="21">
        <v>1471.99</v>
      </c>
    </row>
    <row r="103" spans="4:5" x14ac:dyDescent="0.25">
      <c r="D103" s="22">
        <v>45622</v>
      </c>
      <c r="E103" s="21">
        <v>2004.1399999999999</v>
      </c>
    </row>
    <row r="104" spans="4:5" x14ac:dyDescent="0.25">
      <c r="D104" s="22">
        <v>45624</v>
      </c>
      <c r="E104" s="21">
        <v>1061.04</v>
      </c>
    </row>
    <row r="105" spans="4:5" x14ac:dyDescent="0.25">
      <c r="D105" s="22">
        <v>45625</v>
      </c>
      <c r="E105" s="21">
        <v>894.55</v>
      </c>
    </row>
    <row r="106" spans="4:5" x14ac:dyDescent="0.25">
      <c r="D106" s="22">
        <v>45626</v>
      </c>
      <c r="E106" s="21">
        <v>833.91</v>
      </c>
    </row>
    <row r="107" spans="4:5" x14ac:dyDescent="0.25">
      <c r="D107" s="22">
        <v>45630</v>
      </c>
      <c r="E107" s="21">
        <v>820.19</v>
      </c>
    </row>
    <row r="108" spans="4:5" x14ac:dyDescent="0.25">
      <c r="D108" s="22">
        <v>45631</v>
      </c>
      <c r="E108" s="21">
        <v>511.74</v>
      </c>
    </row>
    <row r="109" spans="4:5" x14ac:dyDescent="0.25">
      <c r="D109" s="22">
        <v>45638</v>
      </c>
      <c r="E109" s="21">
        <v>806.03</v>
      </c>
    </row>
    <row r="110" spans="4:5" x14ac:dyDescent="0.25">
      <c r="D110" s="22">
        <v>45640</v>
      </c>
      <c r="E110" s="21">
        <v>2921.05</v>
      </c>
    </row>
    <row r="111" spans="4:5" x14ac:dyDescent="0.25">
      <c r="D111" s="22">
        <v>45646</v>
      </c>
      <c r="E111" s="21">
        <v>1231.26</v>
      </c>
    </row>
    <row r="112" spans="4:5" x14ac:dyDescent="0.25">
      <c r="D112" s="22">
        <v>45647</v>
      </c>
      <c r="E112" s="21">
        <v>1161.67</v>
      </c>
    </row>
    <row r="113" spans="4:5" x14ac:dyDescent="0.25">
      <c r="D113" s="22">
        <v>45650</v>
      </c>
      <c r="E113" s="21">
        <v>388.23</v>
      </c>
    </row>
    <row r="114" spans="4:5" x14ac:dyDescent="0.25">
      <c r="D114" s="22">
        <v>45651</v>
      </c>
      <c r="E114" s="21">
        <v>1926.0800000000002</v>
      </c>
    </row>
    <row r="115" spans="4:5" x14ac:dyDescent="0.25">
      <c r="D115" s="22">
        <v>45656</v>
      </c>
      <c r="E115" s="21">
        <v>1353.79</v>
      </c>
    </row>
    <row r="116" spans="4:5" x14ac:dyDescent="0.25">
      <c r="D116" s="22">
        <v>45658</v>
      </c>
      <c r="E116" s="21">
        <v>972.03</v>
      </c>
    </row>
    <row r="117" spans="4:5" x14ac:dyDescent="0.25">
      <c r="D117" s="22">
        <v>45659</v>
      </c>
      <c r="E117" s="21">
        <v>884.63</v>
      </c>
    </row>
    <row r="118" spans="4:5" x14ac:dyDescent="0.25">
      <c r="D118" s="22">
        <v>45660</v>
      </c>
      <c r="E118" s="21">
        <v>1615.28</v>
      </c>
    </row>
    <row r="119" spans="4:5" x14ac:dyDescent="0.25">
      <c r="D119" s="22">
        <v>45663</v>
      </c>
      <c r="E119" s="21">
        <v>862.19</v>
      </c>
    </row>
    <row r="120" spans="4:5" x14ac:dyDescent="0.25">
      <c r="D120" s="22">
        <v>45667</v>
      </c>
      <c r="E120" s="21">
        <v>1171.18</v>
      </c>
    </row>
    <row r="121" spans="4:5" x14ac:dyDescent="0.25">
      <c r="D121" s="22">
        <v>45669</v>
      </c>
      <c r="E121" s="21">
        <v>1054.56</v>
      </c>
    </row>
    <row r="122" spans="4:5" x14ac:dyDescent="0.25">
      <c r="D122" s="22">
        <v>45670</v>
      </c>
      <c r="E122" s="21">
        <v>1681.21</v>
      </c>
    </row>
    <row r="123" spans="4:5" x14ac:dyDescent="0.25">
      <c r="D123" s="22">
        <v>45673</v>
      </c>
      <c r="E123" s="21">
        <v>379.77</v>
      </c>
    </row>
    <row r="124" spans="4:5" x14ac:dyDescent="0.25">
      <c r="D124" s="22">
        <v>45674</v>
      </c>
      <c r="E124" s="21">
        <v>3445.38</v>
      </c>
    </row>
    <row r="125" spans="4:5" x14ac:dyDescent="0.25">
      <c r="D125" s="22">
        <v>45677</v>
      </c>
      <c r="E125" s="21">
        <v>1622.62</v>
      </c>
    </row>
    <row r="126" spans="4:5" x14ac:dyDescent="0.25">
      <c r="D126" s="22">
        <v>45678</v>
      </c>
      <c r="E126" s="21">
        <v>640.64</v>
      </c>
    </row>
    <row r="127" spans="4:5" x14ac:dyDescent="0.25">
      <c r="D127" s="22">
        <v>45684</v>
      </c>
      <c r="E127" s="21">
        <v>585.16</v>
      </c>
    </row>
    <row r="128" spans="4:5" x14ac:dyDescent="0.25">
      <c r="D128" s="22">
        <v>45690</v>
      </c>
      <c r="E128" s="21">
        <v>1109.98</v>
      </c>
    </row>
    <row r="129" spans="4:5" x14ac:dyDescent="0.25">
      <c r="D129" s="22">
        <v>45692</v>
      </c>
      <c r="E129" s="21">
        <v>1098.08</v>
      </c>
    </row>
    <row r="130" spans="4:5" x14ac:dyDescent="0.25">
      <c r="D130" s="22">
        <v>45693</v>
      </c>
      <c r="E130" s="21">
        <v>827.25</v>
      </c>
    </row>
    <row r="131" spans="4:5" x14ac:dyDescent="0.25">
      <c r="D131" s="22">
        <v>45695</v>
      </c>
      <c r="E131" s="21">
        <v>741.88</v>
      </c>
    </row>
    <row r="132" spans="4:5" x14ac:dyDescent="0.25">
      <c r="D132" s="22">
        <v>45698</v>
      </c>
      <c r="E132" s="21">
        <v>1311.26</v>
      </c>
    </row>
    <row r="133" spans="4:5" x14ac:dyDescent="0.25">
      <c r="D133" s="22">
        <v>45703</v>
      </c>
      <c r="E133" s="21">
        <v>573.32000000000005</v>
      </c>
    </row>
    <row r="134" spans="4:5" x14ac:dyDescent="0.25">
      <c r="D134" s="22">
        <v>45705</v>
      </c>
      <c r="E134" s="21">
        <v>1115.22</v>
      </c>
    </row>
    <row r="135" spans="4:5" x14ac:dyDescent="0.25">
      <c r="D135" s="22">
        <v>45707</v>
      </c>
      <c r="E135" s="21">
        <v>845.84</v>
      </c>
    </row>
    <row r="136" spans="4:5" x14ac:dyDescent="0.25">
      <c r="D136" s="22">
        <v>45708</v>
      </c>
      <c r="E136" s="21">
        <v>1029.8</v>
      </c>
    </row>
    <row r="137" spans="4:5" x14ac:dyDescent="0.25">
      <c r="D137" s="22">
        <v>45709</v>
      </c>
      <c r="E137" s="21">
        <v>1189.83</v>
      </c>
    </row>
    <row r="138" spans="4:5" x14ac:dyDescent="0.25">
      <c r="D138" s="22">
        <v>45712</v>
      </c>
      <c r="E138" s="21">
        <v>2322.5</v>
      </c>
    </row>
    <row r="139" spans="4:5" x14ac:dyDescent="0.25">
      <c r="D139" s="22">
        <v>45713</v>
      </c>
      <c r="E139" s="21">
        <v>1014.43</v>
      </c>
    </row>
    <row r="140" spans="4:5" x14ac:dyDescent="0.25">
      <c r="D140" s="22">
        <v>45715</v>
      </c>
      <c r="E140" s="21">
        <v>826.97</v>
      </c>
    </row>
    <row r="141" spans="4:5" x14ac:dyDescent="0.25">
      <c r="D141" s="22">
        <v>45717</v>
      </c>
      <c r="E141" s="21">
        <v>1022.23</v>
      </c>
    </row>
    <row r="142" spans="4:5" x14ac:dyDescent="0.25">
      <c r="D142" s="22">
        <v>45718</v>
      </c>
      <c r="E142" s="21">
        <v>1099.69</v>
      </c>
    </row>
    <row r="143" spans="4:5" x14ac:dyDescent="0.25">
      <c r="D143" s="22">
        <v>45721</v>
      </c>
      <c r="E143" s="21">
        <v>710.52</v>
      </c>
    </row>
    <row r="144" spans="4:5" x14ac:dyDescent="0.25">
      <c r="D144" s="22">
        <v>45724</v>
      </c>
      <c r="E144" s="21">
        <v>499.18</v>
      </c>
    </row>
    <row r="145" spans="4:5" x14ac:dyDescent="0.25">
      <c r="D145" s="22">
        <v>45725</v>
      </c>
      <c r="E145" s="21">
        <v>1064.19</v>
      </c>
    </row>
    <row r="146" spans="4:5" x14ac:dyDescent="0.25">
      <c r="D146" s="22">
        <v>45726</v>
      </c>
      <c r="E146" s="21">
        <v>438.76</v>
      </c>
    </row>
    <row r="147" spans="4:5" x14ac:dyDescent="0.25">
      <c r="D147" s="22">
        <v>45727</v>
      </c>
      <c r="E147" s="21">
        <v>864.98</v>
      </c>
    </row>
    <row r="148" spans="4:5" x14ac:dyDescent="0.25">
      <c r="D148" s="22">
        <v>45733</v>
      </c>
      <c r="E148" s="21">
        <v>984.93</v>
      </c>
    </row>
    <row r="149" spans="4:5" x14ac:dyDescent="0.25">
      <c r="D149" s="22">
        <v>45734</v>
      </c>
      <c r="E149" s="21">
        <v>1493.49</v>
      </c>
    </row>
    <row r="150" spans="4:5" x14ac:dyDescent="0.25">
      <c r="D150" s="22">
        <v>45736</v>
      </c>
      <c r="E150" s="21">
        <v>689.43</v>
      </c>
    </row>
    <row r="151" spans="4:5" x14ac:dyDescent="0.25">
      <c r="D151" s="22">
        <v>45738</v>
      </c>
      <c r="E151" s="21">
        <v>682.24</v>
      </c>
    </row>
    <row r="152" spans="4:5" x14ac:dyDescent="0.25">
      <c r="D152" s="22">
        <v>45741</v>
      </c>
      <c r="E152" s="21">
        <v>458.54</v>
      </c>
    </row>
    <row r="153" spans="4:5" x14ac:dyDescent="0.25">
      <c r="D153" s="22">
        <v>45742</v>
      </c>
      <c r="E153" s="21">
        <v>1184.25</v>
      </c>
    </row>
    <row r="154" spans="4:5" x14ac:dyDescent="0.25">
      <c r="D154" s="22">
        <v>45743</v>
      </c>
      <c r="E154" s="21">
        <v>1512.85</v>
      </c>
    </row>
    <row r="155" spans="4:5" x14ac:dyDescent="0.25">
      <c r="D155" s="22">
        <v>45745</v>
      </c>
      <c r="E155" s="21">
        <v>2550.3200000000002</v>
      </c>
    </row>
    <row r="156" spans="4:5" x14ac:dyDescent="0.25">
      <c r="D156" s="22">
        <v>45746</v>
      </c>
      <c r="E156" s="21">
        <v>2399.62</v>
      </c>
    </row>
    <row r="157" spans="4:5" x14ac:dyDescent="0.25">
      <c r="D157" s="22">
        <v>45749</v>
      </c>
      <c r="E157" s="21">
        <v>740.8</v>
      </c>
    </row>
    <row r="158" spans="4:5" x14ac:dyDescent="0.25">
      <c r="D158" s="22">
        <v>45752</v>
      </c>
      <c r="E158" s="21">
        <v>1543.0500000000002</v>
      </c>
    </row>
    <row r="159" spans="4:5" x14ac:dyDescent="0.25">
      <c r="D159" s="22">
        <v>45754</v>
      </c>
      <c r="E159" s="21">
        <v>928.32</v>
      </c>
    </row>
    <row r="160" spans="4:5" x14ac:dyDescent="0.25">
      <c r="D160" s="22" t="s">
        <v>119</v>
      </c>
      <c r="E160" s="21">
        <v>195217.75999999992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Normal="100" workbookViewId="0">
      <selection activeCell="J20" sqref="J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SUMMARY DATA</vt:lpstr>
      <vt:lpstr>PIVOT TABLE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2026-03-13T04:08:17Z</dcterms:created>
  <dcterms:modified xsi:type="dcterms:W3CDTF">2026-03-16T05:36:58Z</dcterms:modified>
</cp:coreProperties>
</file>